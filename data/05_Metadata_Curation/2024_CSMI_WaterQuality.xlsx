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L:\Priv\Great lakes Coastal\2024 Lake Erie\Data\"/>
    </mc:Choice>
  </mc:AlternateContent>
  <xr:revisionPtr revIDLastSave="0" documentId="13_ncr:1_{8EFB1E6D-8D60-4BE8-824D-D071E2E59405}" xr6:coauthVersionLast="47" xr6:coauthVersionMax="47" xr10:uidLastSave="{00000000-0000-0000-0000-000000000000}"/>
  <bookViews>
    <workbookView xWindow="-110" yWindow="-110" windowWidth="19420" windowHeight="10300" xr2:uid="{CBE99F9F-D1EC-4873-9635-9694A3872494}"/>
  </bookViews>
  <sheets>
    <sheet name="READ ME" sheetId="2" r:id="rId1"/>
    <sheet name="Water Quality Data" sheetId="5" r:id="rId2"/>
    <sheet name="Sample information" sheetId="6" r:id="rId3"/>
  </sheets>
  <externalReferences>
    <externalReference r:id="rId4"/>
  </externalReferences>
  <definedNames>
    <definedName name="_xlnm.Database">#REF!</definedName>
    <definedName name="DatabaseA">#REF!</definedName>
    <definedName name="DatabaseB">#REF!</definedName>
    <definedName name="Field_Metadata">[1]!Table1[#All]</definedName>
    <definedName name="LetterID">#REF!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9" i="2" l="1"/>
  <c r="E39" i="2"/>
  <c r="E27" i="2"/>
  <c r="E28" i="2"/>
  <c r="E29" i="2"/>
  <c r="E30" i="2"/>
  <c r="E31" i="2"/>
  <c r="E32" i="2"/>
  <c r="E33" i="2"/>
  <c r="E34" i="2"/>
  <c r="E35" i="2"/>
  <c r="E36" i="2"/>
  <c r="E37" i="2"/>
  <c r="E38" i="2"/>
  <c r="E40" i="2"/>
  <c r="E41" i="2"/>
  <c r="E26" i="2"/>
  <c r="D40" i="2" l="1"/>
  <c r="D41" i="2"/>
  <c r="D27" i="2"/>
  <c r="D28" i="2"/>
  <c r="D29" i="2"/>
  <c r="D30" i="2"/>
  <c r="D31" i="2"/>
  <c r="D32" i="2"/>
  <c r="D33" i="2"/>
  <c r="D34" i="2"/>
  <c r="D35" i="2"/>
  <c r="D36" i="2"/>
  <c r="D37" i="2"/>
  <c r="D38" i="2"/>
  <c r="D26" i="2"/>
</calcChain>
</file>

<file path=xl/sharedStrings.xml><?xml version="1.0" encoding="utf-8"?>
<sst xmlns="http://schemas.openxmlformats.org/spreadsheetml/2006/main" count="2443" uniqueCount="185">
  <si>
    <t>NA</t>
  </si>
  <si>
    <t>Broken vial</t>
  </si>
  <si>
    <t>US EPA Contact Information</t>
  </si>
  <si>
    <t>Disclaimer</t>
  </si>
  <si>
    <t xml:space="preserve">This work was funded in its entirety by the US EPA Office of Research and Development and the Great Lakes Restoration Initiative. Mention of or referral to commercial products or  services, and/or links to non-EPA sites does not imply official EPA endorsement of or responsibility for the opinions, ideas, data, or products presented at those locations, or guarantee the validity of the information provided. Mention of commercial products/services on non-EPA websites is provided soley as a pointer to information on topics related to environmental protection that may be useful to EPA staff and the public. This information has been reveiwed for content but may not represent EPA policy. </t>
  </si>
  <si>
    <t>Program Overview</t>
  </si>
  <si>
    <t>Sample Collection Overview</t>
  </si>
  <si>
    <t>Sample Analysis Overview</t>
  </si>
  <si>
    <t>TN, NOx, NH4+, and TP were measured on a Lachat 8500 ﬂow-injection analyzer (APHA, 1998; Lachat QuikChem methods, Lachat Instruments, Loveland, CO, USA). Unﬁltered subsamples were digested by persulfate digestion for TP and TN (APHA, 1998). Total phosphorus was determined by the molybdate-ascorbic acid method (APHA, 1998; Lachat QuikChem method 10-115-01-1-B). Total N and dissolved NOx (0.45-μm membrane ﬁltered) were analyzed by the cadmium reduction method (APHA, 1998; Lachat QuikChem method 10-107-04-1-O). Ammonium was determined on ﬁltered (0.45-μm pore membrane) samples on the Lachat analyzer with the salicylate method (Lachat QuikChem method 10-107-06-2-C). Cations sodium, potassium, calcium, and magnesium were analyzed by Atomic Absorption Spectrophotometry, Standard Methods 3111B (Varian SpectrAA 240FS). Anions were analyzed by ion chromatography, U.S. EPA 300.1 (Thermo ICS-5000). Total and volatile suspended solids were analyzed by gravimetric analysis (APHA, 1998; method 2130B), and chlA by ﬂuorometry (TD-700 Turner Designs, Sunnyvale, CA, USA) after extraction with magnesium-saturated acetone (Welschmeyer, 1994).</t>
  </si>
  <si>
    <t>sample abbreviation</t>
  </si>
  <si>
    <t>comment</t>
  </si>
  <si>
    <t>U</t>
  </si>
  <si>
    <t>TN/TP: Unfiltered nutrients for total nitrogen and total Phosphorus</t>
  </si>
  <si>
    <t>F</t>
  </si>
  <si>
    <t>NH4,SRP,NOx:  Filtered nutrients analyzed for inorganic soluble ammonium, soluble reactive phosphorus, and nitrate+nitrite</t>
  </si>
  <si>
    <t>A</t>
  </si>
  <si>
    <t>CL-SO4= SiO2: Filtered sample analyzed for chloride, sulfate, and silica</t>
  </si>
  <si>
    <t>M</t>
  </si>
  <si>
    <t>NaKCaMg: Filtered sample analyzed for cations sodium, potassium, calcium, magnesium,  ( Na, K, Ca, Mg)</t>
  </si>
  <si>
    <t>D</t>
  </si>
  <si>
    <t>DOC: Filtered sample analyzed dissolved organic carbon</t>
  </si>
  <si>
    <t>V</t>
  </si>
  <si>
    <t>TSS/VSS: unfiltered sample filtered, dried and muffled for total and volatile suspended solids</t>
  </si>
  <si>
    <t>method detection limit</t>
  </si>
  <si>
    <t>Site Depth (m)</t>
  </si>
  <si>
    <t>Time (EST)</t>
  </si>
  <si>
    <t>MDL (method detection limit)</t>
  </si>
  <si>
    <t>If result is below MDL then ½MDL is reported</t>
  </si>
  <si>
    <t xml:space="preserve">NH4 ug N/L </t>
  </si>
  <si>
    <t xml:space="preserve">NOx ug N/L </t>
  </si>
  <si>
    <t>TP ug P/L</t>
  </si>
  <si>
    <t>K+ mg/L</t>
  </si>
  <si>
    <t>Na+ mg/l</t>
  </si>
  <si>
    <t>Ca++ mg/L</t>
  </si>
  <si>
    <t>Mg++ mg/L</t>
  </si>
  <si>
    <t>Cl- mg/L</t>
  </si>
  <si>
    <t>SO4= mg/L</t>
  </si>
  <si>
    <t>DOC mg C/L</t>
  </si>
  <si>
    <t>B-</t>
  </si>
  <si>
    <t>Brent Gilbertson (gilbertson.brent@epa.gov)</t>
  </si>
  <si>
    <t xml:space="preserve">The Cooperative Science and Monitoring Initiative (CSMI) on Lake Erie is part of a binational effort instituted under the 2012 Great Lakes Water Quality Agreement Annex 10. CSMI has a 5 year cycle for assessing the environmental conditions in each of the 5 Great Lakes. The cycle includes priority setting by the Lake Partnership, planning and implentation of field and lab work that address the priorities, and the analysis and reporting for results. The US EPA's Great Lakes Toxicology and Ecology Division (GLTED), part of the Office of Research and Development, participated in each element of the CSMI cycle for Lake Erie. Reported here are the data collected, processed, and aggregated by GLTED. They represent only a portion of the data collected for CSMI Lake Erie in the 2024 field campaign. The US EPA Great Lakes Program Office and the IL &amp; IN Seagrant have compiled all the data. 
 </t>
  </si>
  <si>
    <t>Water was collected at discrete depths, determined by CTD cast water column profile, and processed based on sample type. Unfiltered sample water for TN and TP were added to HCL acid washed HDPE bottles and frozen. Sample water for filtered constituents SRP/NOx/NH4+, cations, anions +SiO2, and dissolved organic carbon (DOC) was filtered through a 0.45um hydrophilic nylon filter and aliquoted into respective containers; HCL acid washed HDPE, HNO3 washed HDPE, Deionized water soaked HDPE, and muffled amber glass vial. SRP/NOx/NH4+ sample was frozen, the anion+SiO2 sample was refrigerated, cations refrigerated after HNO3 acid preservation, and DOC refrigerated after HCl acid preservation. Total suspended and volatile solids (TSS/VSS) were collected by filtering a water aliquot through a pre-ashed, pre-weighed GF/F filter (Whatman®) and placed back into individual petri dishes. ChlA was collected by filtering an aliquot of sample water through a GF/F filter and placed in a glass 10ml centrifuge tube then directly into a dark bag. Both filter type samples were frozen until further analysis.</t>
  </si>
  <si>
    <t>STIS#</t>
  </si>
  <si>
    <t>Ship</t>
  </si>
  <si>
    <t>Lake</t>
  </si>
  <si>
    <t>Site</t>
  </si>
  <si>
    <t>Research Project</t>
  </si>
  <si>
    <t>Date</t>
  </si>
  <si>
    <t xml:space="preserve">SRP ug P/L </t>
  </si>
  <si>
    <t>TN ug N/L</t>
  </si>
  <si>
    <t>*Si mg SiO2/L</t>
  </si>
  <si>
    <t>chl-a    ug/L</t>
  </si>
  <si>
    <t>label fell off</t>
  </si>
  <si>
    <t>R/V Lake Guardian</t>
  </si>
  <si>
    <t>Lake Erie</t>
  </si>
  <si>
    <t>NO</t>
  </si>
  <si>
    <t>Unstratified</t>
  </si>
  <si>
    <t>CSMI</t>
  </si>
  <si>
    <t>EPI</t>
  </si>
  <si>
    <t>ER58</t>
  </si>
  <si>
    <t>ER63</t>
  </si>
  <si>
    <t>ER59</t>
  </si>
  <si>
    <t>ER60</t>
  </si>
  <si>
    <t>ER37</t>
  </si>
  <si>
    <t>Stratified/ Unstratified</t>
  </si>
  <si>
    <t>Fmax Y/N</t>
  </si>
  <si>
    <t>Depth 
Category</t>
  </si>
  <si>
    <t>Depth 
Collected (m)</t>
  </si>
  <si>
    <t>unstratified</t>
  </si>
  <si>
    <t>BLANK</t>
  </si>
  <si>
    <t>ER61</t>
  </si>
  <si>
    <t>ER91M</t>
  </si>
  <si>
    <t>ER91Mrepeat</t>
  </si>
  <si>
    <t>ER92</t>
  </si>
  <si>
    <t>ER42</t>
  </si>
  <si>
    <t>MID</t>
  </si>
  <si>
    <t>DUP</t>
  </si>
  <si>
    <t>ER43</t>
  </si>
  <si>
    <t>ER73</t>
  </si>
  <si>
    <t>ER36</t>
  </si>
  <si>
    <t>stratified</t>
  </si>
  <si>
    <t>ER38</t>
  </si>
  <si>
    <t>ER30</t>
  </si>
  <si>
    <t>ER31</t>
  </si>
  <si>
    <t>ER78M</t>
  </si>
  <si>
    <t>ER32</t>
  </si>
  <si>
    <t>ER15M</t>
  </si>
  <si>
    <t>ER10</t>
  </si>
  <si>
    <t>ER09</t>
  </si>
  <si>
    <t>22b</t>
  </si>
  <si>
    <t>24b</t>
  </si>
  <si>
    <t>34-36 mislabeled 37-39 on field sheet</t>
  </si>
  <si>
    <t>Field blank</t>
  </si>
  <si>
    <t>966N</t>
  </si>
  <si>
    <t>G09</t>
  </si>
  <si>
    <t>YES</t>
  </si>
  <si>
    <t>ERN22</t>
  </si>
  <si>
    <t>936N</t>
  </si>
  <si>
    <t>I28N</t>
  </si>
  <si>
    <t>SPARE</t>
  </si>
  <si>
    <t>Stratified</t>
  </si>
  <si>
    <t>USGS1</t>
  </si>
  <si>
    <t>USGS2</t>
  </si>
  <si>
    <t>I28</t>
  </si>
  <si>
    <t>Method</t>
  </si>
  <si>
    <t>R/V Lake Explorer II</t>
  </si>
  <si>
    <t>ER78</t>
  </si>
  <si>
    <t>LOQ (limit of quantification)</t>
  </si>
  <si>
    <t xml:space="preserve">PoP ug P/L </t>
  </si>
  <si>
    <t xml:space="preserve">PoN ug N/L </t>
  </si>
  <si>
    <t>Missing field sheet</t>
  </si>
  <si>
    <t>Notes:</t>
  </si>
  <si>
    <t>PROBABLY FIELD BLANK, NOT INCLUDED ON FIELD SHEET</t>
  </si>
  <si>
    <t>NO DATA RECORDED ON FIELD SHEET</t>
  </si>
  <si>
    <t>Missing field sheet, probably a field bank</t>
  </si>
  <si>
    <t>ER95N</t>
  </si>
  <si>
    <t>Terri Jicha (jicha.terri@epa.gov)</t>
  </si>
  <si>
    <t>Complied by Brent Gilbertson,  Analysis by Ryan Roeckle, Brent Gilbertson, Terri Jicha, Bridget Beyer</t>
  </si>
  <si>
    <t>Latitude</t>
  </si>
  <si>
    <t xml:space="preserve">Longitude </t>
  </si>
  <si>
    <t>Depth Strata</t>
  </si>
  <si>
    <t>STIS MAY</t>
  </si>
  <si>
    <t>STIS July*</t>
  </si>
  <si>
    <t>STIS September</t>
  </si>
  <si>
    <t>ER59 SPARE?</t>
  </si>
  <si>
    <t>Analyte</t>
  </si>
  <si>
    <t xml:space="preserve">Ammonium as ugN/L </t>
  </si>
  <si>
    <t xml:space="preserve">Nitrite+Nitrate as ug N/L </t>
  </si>
  <si>
    <t xml:space="preserve">Soluble reactive Phosphorus as ug P/L </t>
  </si>
  <si>
    <t>Total Nitrogen as ug N/L</t>
  </si>
  <si>
    <t>Total phosphorus as ug P/L</t>
  </si>
  <si>
    <t>Potassium mg/L</t>
  </si>
  <si>
    <t>Sodium mg/l</t>
  </si>
  <si>
    <t>Calcium mg/L</t>
  </si>
  <si>
    <t>Magnesium mg/L</t>
  </si>
  <si>
    <t>Chloride mg/L</t>
  </si>
  <si>
    <t>Sulfate mg/L</t>
  </si>
  <si>
    <t>Dissolved Organic Carbon mg C/L</t>
  </si>
  <si>
    <t>Silica as mg SiO2/L</t>
  </si>
  <si>
    <t>Chlorophyll-a   ug/L</t>
  </si>
  <si>
    <t xml:space="preserve">Particulate organic phosphorus ug P/L </t>
  </si>
  <si>
    <t xml:space="preserve">Particulate organic nitrogen ug N/L </t>
  </si>
  <si>
    <t>Ammonium ug N/L Salycilate methon on FIA</t>
  </si>
  <si>
    <t>Nitirite/ nitrate ug N/L Cadmium reduction by FIA</t>
  </si>
  <si>
    <t>Soluble reactive phosphorus ug P/ L Ascorbic acid by FIA</t>
  </si>
  <si>
    <t>Total nitrogen ug N/L persulfate digestion FIA</t>
  </si>
  <si>
    <t>Total Phosphorus ug P/L persulfate digestion FIA</t>
  </si>
  <si>
    <t>Pottasium mg/L by AA</t>
  </si>
  <si>
    <t>Sodium mg/L by AA</t>
  </si>
  <si>
    <t>Calcium mg/L by AA</t>
  </si>
  <si>
    <t>magnesium mg/L by AA</t>
  </si>
  <si>
    <t>Chloride mg/L by IC</t>
  </si>
  <si>
    <t>Sulfate mg/L by IC</t>
  </si>
  <si>
    <t>Dissolved Organic Carbon mgC/LL</t>
  </si>
  <si>
    <t>Silica mg/L by FIA</t>
  </si>
  <si>
    <t>Chlorophyll a by fluorometer</t>
  </si>
  <si>
    <t>Total nitrogen ug N/L persulfate digestion of filter, FIA</t>
  </si>
  <si>
    <t>Total Phosphorus ug P/L persulfate digestion of filter,  FIA</t>
  </si>
  <si>
    <t>Sample tracking number</t>
  </si>
  <si>
    <t>Name of station sampled</t>
  </si>
  <si>
    <t>Epi= epilimnion, Fmax= flourescence maximum, Hypo/B2= bottom depth 2m from the substrate</t>
  </si>
  <si>
    <t>Time of collection</t>
  </si>
  <si>
    <t xml:space="preserve">Stratified or not </t>
  </si>
  <si>
    <t>Was there an Fmax (maximum flourecence)</t>
  </si>
  <si>
    <t>Depth sample was collected at.</t>
  </si>
  <si>
    <t>Total depth at station</t>
  </si>
  <si>
    <t>Name of research project sample was collected</t>
  </si>
  <si>
    <t>Lake at which sample was collected</t>
  </si>
  <si>
    <t>Date of collection</t>
  </si>
  <si>
    <t>Ship name</t>
  </si>
  <si>
    <r>
      <t>detection limit  of analysis method; if analyte result below detection limit then ½</t>
    </r>
    <r>
      <rPr>
        <sz val="8.5"/>
        <rFont val="Arial"/>
        <family val="2"/>
      </rPr>
      <t xml:space="preserve"> the MDL is reported</t>
    </r>
  </si>
  <si>
    <t>Variable name</t>
  </si>
  <si>
    <t>Definition</t>
  </si>
  <si>
    <t>Water Quality information</t>
  </si>
  <si>
    <t>latitude of station</t>
  </si>
  <si>
    <t>Longitude of station</t>
  </si>
  <si>
    <t>Sample tracking id for samples collected on the May sampling event on the Lake Guardian by GLTED</t>
  </si>
  <si>
    <t>Sample tracking id for samples collected on the September sampling event on the Lake Guardian by GLTED</t>
  </si>
  <si>
    <t>Sample tracking id for samples collected on the July sampling event on the Lake Guardian by GLTED</t>
  </si>
  <si>
    <t>Variable</t>
  </si>
  <si>
    <t>definition</t>
  </si>
  <si>
    <t>Site information</t>
  </si>
  <si>
    <t>Citation</t>
  </si>
  <si>
    <t>DOI when available</t>
  </si>
  <si>
    <r>
      <t>Jicha, T., A. Hess, J. Hoffman,   B. Gilbertson, J. Gerads, R. Roeckle, J Heinlein, M. Klasic, T. Hollenhorst,  A. Trebitz, C. Larson, K. Benesh, M. Shanoff,  K. Alexson, J. Launspach,  M. Bell, K. McConaghy, G. Caseano, T Rosera, A. Fosso. 2026</t>
    </r>
    <r>
      <rPr>
        <i/>
        <sz val="11"/>
        <color theme="1"/>
        <rFont val="Aptos Narrow"/>
        <family val="2"/>
        <scheme val="minor"/>
      </rPr>
      <t xml:space="preserve">.  Lake Ontario 2023 </t>
    </r>
    <r>
      <rPr>
        <sz val="10"/>
        <rFont val="Arial"/>
      </rPr>
      <t>Cooperative Science Monitoring Initiative (CSMI) Water Quality and Lower Food Web Comprehensive Dataset.  Dataset. EPA Office of Applied Sciences and Envrionmental Solutions dataset to satisfy CSMI statutory obligations under Clean Water Act Public Law 92-500 and the Great Lakes Water Quality Areement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</si>
</sst>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h:mm;@"/>
  </numFmts>
  <fonts count="19" x14ac:knownFonts="1">
    <font>
      <sz val="10"/>
      <name val="Arial"/>
    </font>
    <font>
      <sz val="11"/>
      <color theme="1"/>
      <name val="Aptos Narrow"/>
      <family val="2"/>
      <scheme val="minor"/>
    </font>
    <font>
      <sz val="11"/>
      <color theme="1"/>
      <name val="Aptos Narrow"/>
      <family val="2"/>
      <scheme val="minor"/>
    </font>
    <font>
      <b/>
      <sz val="11"/>
      <color theme="1"/>
      <name val="Aptos Narrow"/>
      <family val="2"/>
      <scheme val="minor"/>
    </font>
    <font>
      <sz val="10"/>
      <name val="Arial"/>
      <family val="2"/>
    </font>
    <font>
      <sz val="11"/>
      <name val="Aptos Narrow"/>
      <family val="2"/>
      <scheme val="minor"/>
    </font>
    <font>
      <b/>
      <sz val="12"/>
      <name val="Aptos Narrow"/>
      <family val="2"/>
      <scheme val="minor"/>
    </font>
    <font>
      <sz val="10"/>
      <name val="Aptos Narrow"/>
      <family val="2"/>
      <scheme val="minor"/>
    </font>
    <font>
      <b/>
      <sz val="12"/>
      <color theme="1"/>
      <name val="Aptos Narrow"/>
      <family val="2"/>
      <scheme val="minor"/>
    </font>
    <font>
      <sz val="12"/>
      <color theme="1"/>
      <name val="Aptos Narrow"/>
      <family val="2"/>
      <scheme val="minor"/>
    </font>
    <font>
      <sz val="12"/>
      <name val="Aptos Narrow"/>
      <family val="2"/>
      <scheme val="minor"/>
    </font>
    <font>
      <sz val="12"/>
      <color rgb="FF000000"/>
      <name val="Calibri"/>
      <family val="2"/>
      <charset val="1"/>
    </font>
    <font>
      <sz val="12"/>
      <name val="Aptos"/>
      <family val="2"/>
    </font>
    <font>
      <sz val="8.5"/>
      <name val="Arial"/>
      <family val="2"/>
    </font>
    <font>
      <b/>
      <sz val="12"/>
      <name val="Aptos"/>
      <family val="2"/>
    </font>
    <font>
      <b/>
      <sz val="12"/>
      <color rgb="FF000000"/>
      <name val="Calibri"/>
      <family val="2"/>
      <charset val="1"/>
    </font>
    <font>
      <sz val="11"/>
      <color rgb="FFFF0000"/>
      <name val="Aptos Narrow"/>
      <family val="2"/>
      <scheme val="minor"/>
    </font>
    <font>
      <i/>
      <sz val="11"/>
      <color theme="1"/>
      <name val="Aptos Narrow"/>
      <family val="2"/>
      <scheme val="minor"/>
    </font>
    <font>
      <u/>
      <sz val="11"/>
      <color theme="10"/>
      <name val="Aptos Narrow"/>
      <family val="2"/>
      <scheme val="minor"/>
    </font>
  </fonts>
  <fills count="11">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3" tint="0.89999084444715716"/>
        <bgColor indexed="64"/>
      </patternFill>
    </fill>
    <fill>
      <patternFill patternType="solid">
        <fgColor theme="0" tint="-0.249977111117893"/>
        <bgColor indexed="64"/>
      </patternFill>
    </fill>
  </fills>
  <borders count="4">
    <border>
      <left/>
      <right/>
      <top/>
      <bottom/>
      <diagonal/>
    </border>
    <border>
      <left/>
      <right/>
      <top/>
      <bottom style="thin">
        <color indexed="64"/>
      </bottom>
      <diagonal/>
    </border>
    <border>
      <left/>
      <right/>
      <top style="medium">
        <color indexed="64"/>
      </top>
      <bottom style="medium">
        <color indexed="64"/>
      </bottom>
      <diagonal/>
    </border>
    <border>
      <left/>
      <right/>
      <top/>
      <bottom style="medium">
        <color indexed="64"/>
      </bottom>
      <diagonal/>
    </border>
  </borders>
  <cellStyleXfs count="21">
    <xf numFmtId="0" fontId="0" fillId="0" borderId="0"/>
    <xf numFmtId="0" fontId="4" fillId="0" borderId="0"/>
    <xf numFmtId="0" fontId="2" fillId="0" borderId="0"/>
    <xf numFmtId="0" fontId="4" fillId="0" borderId="0"/>
    <xf numFmtId="0" fontId="4" fillId="0" borderId="0"/>
    <xf numFmtId="43" fontId="4" fillId="0" borderId="0" applyFont="0" applyFill="0" applyBorder="0" applyAlignment="0" applyProtection="0"/>
    <xf numFmtId="0" fontId="2"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8" fillId="0" borderId="0" applyNumberFormat="0" applyFill="0" applyBorder="0" applyAlignment="0" applyProtection="0"/>
  </cellStyleXfs>
  <cellXfs count="101">
    <xf numFmtId="0" fontId="0" fillId="0" borderId="0" xfId="0"/>
    <xf numFmtId="2" fontId="0" fillId="0" borderId="0" xfId="0" applyNumberFormat="1" applyAlignment="1">
      <alignment horizontal="center"/>
    </xf>
    <xf numFmtId="0" fontId="0" fillId="0" borderId="0" xfId="0" applyAlignment="1">
      <alignment horizontal="right"/>
    </xf>
    <xf numFmtId="0" fontId="0" fillId="0" borderId="0" xfId="0" applyAlignment="1">
      <alignment horizontal="center"/>
    </xf>
    <xf numFmtId="2" fontId="0" fillId="0" borderId="0" xfId="0" applyNumberFormat="1" applyAlignment="1">
      <alignment horizontal="right"/>
    </xf>
    <xf numFmtId="164" fontId="0" fillId="0" borderId="0" xfId="0" applyNumberFormat="1" applyAlignment="1">
      <alignment horizontal="center"/>
    </xf>
    <xf numFmtId="2" fontId="4" fillId="0" borderId="0" xfId="1" applyNumberFormat="1" applyAlignment="1">
      <alignment horizontal="right"/>
    </xf>
    <xf numFmtId="2" fontId="0" fillId="3" borderId="0" xfId="0" applyNumberFormat="1" applyFill="1" applyAlignment="1">
      <alignment horizontal="right"/>
    </xf>
    <xf numFmtId="0" fontId="0" fillId="2" borderId="0" xfId="0" applyFill="1" applyAlignment="1">
      <alignment horizontal="center"/>
    </xf>
    <xf numFmtId="1" fontId="0" fillId="0" borderId="0" xfId="0" applyNumberFormat="1" applyAlignment="1">
      <alignment horizontal="center"/>
    </xf>
    <xf numFmtId="0" fontId="3" fillId="4" borderId="0" xfId="2" applyFont="1" applyFill="1"/>
    <xf numFmtId="0" fontId="2" fillId="0" borderId="0" xfId="2"/>
    <xf numFmtId="0" fontId="3" fillId="0" borderId="0" xfId="2" applyFont="1"/>
    <xf numFmtId="0" fontId="3" fillId="4" borderId="0" xfId="2" applyFont="1" applyFill="1" applyAlignment="1">
      <alignment vertical="center"/>
    </xf>
    <xf numFmtId="0" fontId="2" fillId="0" borderId="0" xfId="2" applyAlignment="1">
      <alignment vertical="center" wrapText="1"/>
    </xf>
    <xf numFmtId="0" fontId="2" fillId="0" borderId="0" xfId="2" applyAlignment="1">
      <alignment wrapText="1"/>
    </xf>
    <xf numFmtId="0" fontId="5" fillId="0" borderId="0" xfId="0" applyFont="1" applyAlignment="1">
      <alignment vertical="center" wrapText="1"/>
    </xf>
    <xf numFmtId="0" fontId="6" fillId="0" borderId="0" xfId="3" applyFont="1" applyAlignment="1">
      <alignment horizontal="left" shrinkToFit="1"/>
    </xf>
    <xf numFmtId="0" fontId="7" fillId="0" borderId="0" xfId="4" applyFont="1"/>
    <xf numFmtId="0" fontId="8" fillId="0" borderId="0" xfId="2" applyFont="1"/>
    <xf numFmtId="0" fontId="8" fillId="0" borderId="1" xfId="6" applyFont="1" applyBorder="1" applyAlignment="1">
      <alignment horizontal="center" vertical="center" wrapText="1"/>
    </xf>
    <xf numFmtId="0" fontId="6" fillId="0" borderId="1" xfId="3" applyFont="1" applyBorder="1" applyAlignment="1">
      <alignment horizontal="center" vertical="center" wrapText="1"/>
    </xf>
    <xf numFmtId="0" fontId="6" fillId="0" borderId="1" xfId="0" applyFont="1" applyBorder="1" applyAlignment="1">
      <alignment horizontal="center" vertical="center" wrapText="1"/>
    </xf>
    <xf numFmtId="2" fontId="6" fillId="0" borderId="1" xfId="0" applyNumberFormat="1" applyFont="1" applyBorder="1" applyAlignment="1">
      <alignment horizontal="center" vertical="center" wrapText="1"/>
    </xf>
    <xf numFmtId="2" fontId="4" fillId="3" borderId="0" xfId="0" applyNumberFormat="1" applyFont="1" applyFill="1" applyAlignment="1">
      <alignment horizontal="right"/>
    </xf>
    <xf numFmtId="0" fontId="0" fillId="0" borderId="0" xfId="0" applyAlignment="1">
      <alignment horizontal="left"/>
    </xf>
    <xf numFmtId="14" fontId="0" fillId="0" borderId="0" xfId="0" applyNumberFormat="1" applyAlignment="1">
      <alignment horizontal="left"/>
    </xf>
    <xf numFmtId="164" fontId="0" fillId="0" borderId="0" xfId="0" applyNumberFormat="1" applyAlignment="1">
      <alignment horizontal="left"/>
    </xf>
    <xf numFmtId="165" fontId="0" fillId="0" borderId="0" xfId="0" applyNumberFormat="1" applyAlignment="1">
      <alignment horizontal="left"/>
    </xf>
    <xf numFmtId="20" fontId="0" fillId="0" borderId="0" xfId="0" applyNumberFormat="1" applyAlignment="1">
      <alignment horizontal="left"/>
    </xf>
    <xf numFmtId="0" fontId="0" fillId="2" borderId="0" xfId="0" applyFill="1" applyAlignment="1">
      <alignment horizontal="left"/>
    </xf>
    <xf numFmtId="14" fontId="0" fillId="2" borderId="0" xfId="0" applyNumberFormat="1" applyFill="1" applyAlignment="1">
      <alignment horizontal="left"/>
    </xf>
    <xf numFmtId="165" fontId="0" fillId="2" borderId="0" xfId="0" applyNumberFormat="1" applyFill="1" applyAlignment="1">
      <alignment horizontal="left"/>
    </xf>
    <xf numFmtId="0" fontId="4" fillId="0" borderId="0" xfId="0" applyFont="1" applyAlignment="1">
      <alignment horizontal="left"/>
    </xf>
    <xf numFmtId="0" fontId="4" fillId="0" borderId="0" xfId="0" applyFont="1"/>
    <xf numFmtId="14" fontId="0" fillId="0" borderId="0" xfId="0" applyNumberFormat="1"/>
    <xf numFmtId="2" fontId="0" fillId="0" borderId="0" xfId="0" applyNumberFormat="1"/>
    <xf numFmtId="2" fontId="4" fillId="0" borderId="0" xfId="0" applyNumberFormat="1" applyFont="1" applyAlignment="1">
      <alignment horizontal="right"/>
    </xf>
    <xf numFmtId="0" fontId="0" fillId="5" borderId="0" xfId="0" applyFill="1" applyAlignment="1">
      <alignment horizontal="center"/>
    </xf>
    <xf numFmtId="2" fontId="0" fillId="5" borderId="0" xfId="0" applyNumberFormat="1" applyFill="1" applyAlignment="1">
      <alignment horizontal="right"/>
    </xf>
    <xf numFmtId="164" fontId="0" fillId="5" borderId="0" xfId="0" applyNumberFormat="1" applyFill="1" applyAlignment="1">
      <alignment horizontal="center"/>
    </xf>
    <xf numFmtId="2" fontId="0" fillId="5" borderId="0" xfId="0" applyNumberFormat="1" applyFill="1" applyAlignment="1">
      <alignment horizontal="center"/>
    </xf>
    <xf numFmtId="2" fontId="4" fillId="5" borderId="0" xfId="1" applyNumberFormat="1" applyFill="1" applyAlignment="1">
      <alignment horizontal="right"/>
    </xf>
    <xf numFmtId="2" fontId="0" fillId="6" borderId="0" xfId="0" applyNumberFormat="1" applyFill="1" applyAlignment="1">
      <alignment horizontal="right"/>
    </xf>
    <xf numFmtId="2" fontId="0" fillId="6" borderId="0" xfId="1" applyNumberFormat="1" applyFont="1" applyFill="1" applyAlignment="1">
      <alignment horizontal="right"/>
    </xf>
    <xf numFmtId="0" fontId="4" fillId="0" borderId="0" xfId="1" applyAlignment="1">
      <alignment horizontal="center"/>
    </xf>
    <xf numFmtId="2" fontId="0" fillId="6" borderId="0" xfId="0" applyNumberFormat="1" applyFill="1"/>
    <xf numFmtId="2" fontId="0" fillId="7" borderId="0" xfId="0" applyNumberFormat="1" applyFill="1"/>
    <xf numFmtId="0" fontId="6" fillId="0" borderId="1" xfId="3" applyFont="1" applyBorder="1" applyAlignment="1">
      <alignment horizontal="left" vertical="center" wrapText="1"/>
    </xf>
    <xf numFmtId="0" fontId="4" fillId="0" borderId="0" xfId="0" applyFont="1" applyAlignment="1">
      <alignment horizontal="center"/>
    </xf>
    <xf numFmtId="0" fontId="4" fillId="2" borderId="0" xfId="0" applyFont="1" applyFill="1" applyAlignment="1">
      <alignment horizontal="left"/>
    </xf>
    <xf numFmtId="2" fontId="6" fillId="0" borderId="0" xfId="0" applyNumberFormat="1" applyFont="1" applyAlignment="1">
      <alignment horizontal="center" vertical="center" wrapText="1"/>
    </xf>
    <xf numFmtId="164" fontId="4" fillId="0" borderId="0" xfId="0" applyNumberFormat="1" applyFont="1" applyAlignment="1">
      <alignment horizontal="left"/>
    </xf>
    <xf numFmtId="0" fontId="1" fillId="0" borderId="0" xfId="2" applyFont="1"/>
    <xf numFmtId="0" fontId="6" fillId="0" borderId="0" xfId="3" applyFont="1" applyAlignment="1">
      <alignment wrapText="1"/>
    </xf>
    <xf numFmtId="0" fontId="6" fillId="0" borderId="0" xfId="3" applyFont="1" applyAlignment="1">
      <alignment horizontal="left" vertical="center" wrapText="1"/>
    </xf>
    <xf numFmtId="0" fontId="4" fillId="2" borderId="0" xfId="1" applyFill="1" applyAlignment="1">
      <alignment horizontal="center"/>
    </xf>
    <xf numFmtId="0" fontId="7" fillId="10" borderId="0" xfId="4" applyFont="1" applyFill="1"/>
    <xf numFmtId="0" fontId="8" fillId="0" borderId="3" xfId="2" applyFont="1" applyBorder="1" applyAlignment="1">
      <alignment horizontal="center" vertical="center"/>
    </xf>
    <xf numFmtId="0" fontId="6" fillId="0" borderId="3" xfId="0" applyFont="1" applyBorder="1" applyAlignment="1">
      <alignment horizontal="center" vertical="center" wrapText="1"/>
    </xf>
    <xf numFmtId="0" fontId="8" fillId="8" borderId="3" xfId="2" applyFont="1" applyFill="1" applyBorder="1" applyAlignment="1">
      <alignment vertical="center" wrapText="1"/>
    </xf>
    <xf numFmtId="0" fontId="8" fillId="9" borderId="3" xfId="2" applyFont="1" applyFill="1" applyBorder="1" applyAlignment="1">
      <alignment horizontal="center" vertical="center"/>
    </xf>
    <xf numFmtId="0" fontId="4" fillId="10" borderId="0" xfId="0" applyFont="1" applyFill="1" applyAlignment="1">
      <alignment horizontal="left"/>
    </xf>
    <xf numFmtId="0" fontId="1" fillId="10" borderId="0" xfId="2" applyFont="1" applyFill="1"/>
    <xf numFmtId="0" fontId="10" fillId="0" borderId="0" xfId="0" applyFont="1" applyAlignment="1">
      <alignment horizontal="center" vertical="center" wrapText="1"/>
    </xf>
    <xf numFmtId="0" fontId="1" fillId="0" borderId="0" xfId="7"/>
    <xf numFmtId="0" fontId="10" fillId="0" borderId="0" xfId="0" applyFont="1" applyAlignment="1">
      <alignment horizontal="center" wrapText="1"/>
    </xf>
    <xf numFmtId="2" fontId="10" fillId="0" borderId="0" xfId="0" applyNumberFormat="1" applyFont="1" applyAlignment="1">
      <alignment horizontal="center" wrapText="1"/>
    </xf>
    <xf numFmtId="0" fontId="11" fillId="0" borderId="0" xfId="0" applyFont="1"/>
    <xf numFmtId="0" fontId="9" fillId="0" borderId="0" xfId="2" applyFont="1"/>
    <xf numFmtId="2" fontId="10" fillId="0" borderId="0" xfId="0" applyNumberFormat="1" applyFont="1" applyAlignment="1">
      <alignment horizontal="center" vertical="center" wrapText="1"/>
    </xf>
    <xf numFmtId="2" fontId="10" fillId="0" borderId="0" xfId="5" applyNumberFormat="1" applyFont="1" applyBorder="1" applyAlignment="1">
      <alignment horizontal="center" wrapText="1"/>
    </xf>
    <xf numFmtId="0" fontId="12" fillId="0" borderId="0" xfId="0" applyFont="1" applyAlignment="1">
      <alignment horizontal="center"/>
    </xf>
    <xf numFmtId="0" fontId="14" fillId="0" borderId="0" xfId="0" applyFont="1" applyAlignment="1">
      <alignment horizontal="center"/>
    </xf>
    <xf numFmtId="2" fontId="6" fillId="0" borderId="0" xfId="0" applyNumberFormat="1" applyFont="1" applyAlignment="1">
      <alignment horizontal="center" wrapText="1"/>
    </xf>
    <xf numFmtId="0" fontId="15" fillId="0" borderId="0" xfId="0" applyFont="1"/>
    <xf numFmtId="0" fontId="9" fillId="0" borderId="0" xfId="6" applyFont="1" applyAlignment="1">
      <alignment horizontal="left" vertical="center" wrapText="1"/>
    </xf>
    <xf numFmtId="0" fontId="7" fillId="0" borderId="0" xfId="4" applyFont="1" applyAlignment="1">
      <alignment horizontal="left"/>
    </xf>
    <xf numFmtId="0" fontId="10" fillId="0" borderId="0" xfId="3" applyFont="1" applyAlignment="1">
      <alignment horizontal="left" vertical="center" wrapText="1"/>
    </xf>
    <xf numFmtId="0" fontId="1" fillId="0" borderId="0" xfId="7" applyAlignment="1">
      <alignment horizontal="left"/>
    </xf>
    <xf numFmtId="0" fontId="1" fillId="0" borderId="0" xfId="2" applyFont="1" applyAlignment="1">
      <alignment horizontal="left"/>
    </xf>
    <xf numFmtId="0" fontId="4" fillId="0" borderId="0" xfId="17" applyFont="1" applyAlignment="1">
      <alignment horizontal="left"/>
    </xf>
    <xf numFmtId="0" fontId="10" fillId="0" borderId="0" xfId="0" applyFont="1" applyAlignment="1">
      <alignment horizontal="left" vertical="center" wrapText="1"/>
    </xf>
    <xf numFmtId="2" fontId="10" fillId="0" borderId="0" xfId="0" applyNumberFormat="1" applyFont="1" applyAlignment="1">
      <alignment horizontal="left" vertical="center" wrapText="1"/>
    </xf>
    <xf numFmtId="0" fontId="6" fillId="0" borderId="3" xfId="0" applyFont="1" applyBorder="1" applyAlignment="1">
      <alignment horizontal="center" wrapText="1"/>
    </xf>
    <xf numFmtId="0" fontId="0" fillId="0" borderId="2" xfId="0" applyBorder="1" applyAlignment="1">
      <alignment horizontal="center" vertical="center"/>
    </xf>
    <xf numFmtId="0" fontId="8" fillId="0" borderId="1" xfId="8" applyFont="1" applyBorder="1" applyAlignment="1">
      <alignment horizontal="center" vertical="center" wrapText="1"/>
    </xf>
    <xf numFmtId="0" fontId="8" fillId="0" borderId="0" xfId="8" applyFont="1" applyAlignment="1">
      <alignment horizontal="center" vertical="center" wrapText="1"/>
    </xf>
    <xf numFmtId="0" fontId="0" fillId="0" borderId="0" xfId="0" applyAlignment="1">
      <alignment horizontal="center" vertical="center"/>
    </xf>
    <xf numFmtId="0" fontId="10" fillId="0" borderId="0" xfId="3" applyFont="1" applyAlignment="1">
      <alignment horizontal="center" vertical="center" wrapText="1"/>
    </xf>
    <xf numFmtId="0" fontId="4" fillId="0" borderId="0" xfId="0" applyFont="1" applyAlignment="1">
      <alignment horizontal="center" vertical="center"/>
    </xf>
    <xf numFmtId="0" fontId="9" fillId="0" borderId="0" xfId="8" applyFont="1" applyAlignment="1">
      <alignment horizontal="center" vertical="center" wrapText="1"/>
    </xf>
    <xf numFmtId="0" fontId="3" fillId="0" borderId="0" xfId="0" applyFont="1"/>
    <xf numFmtId="0" fontId="3" fillId="4" borderId="0" xfId="7" applyFont="1" applyFill="1" applyAlignment="1">
      <alignment horizontal="left" vertical="top"/>
    </xf>
    <xf numFmtId="0" fontId="16" fillId="0" borderId="0" xfId="7" applyFont="1"/>
    <xf numFmtId="0" fontId="4" fillId="4" borderId="0" xfId="4" applyFill="1" applyAlignment="1">
      <alignment horizontal="left" vertical="top"/>
    </xf>
    <xf numFmtId="0" fontId="18" fillId="0" borderId="0" xfId="20"/>
    <xf numFmtId="0" fontId="9" fillId="0" borderId="0" xfId="2" applyFont="1" applyAlignment="1">
      <alignment horizontal="left" wrapText="1"/>
    </xf>
    <xf numFmtId="0" fontId="6" fillId="10" borderId="0" xfId="0" applyFont="1" applyFill="1" applyAlignment="1">
      <alignment horizontal="center" vertical="center" wrapText="1"/>
    </xf>
    <xf numFmtId="0" fontId="1" fillId="10" borderId="0" xfId="2" applyFont="1" applyFill="1" applyAlignment="1">
      <alignment horizontal="center"/>
    </xf>
    <xf numFmtId="0" fontId="4" fillId="0" borderId="0" xfId="0" applyFont="1" applyAlignment="1">
      <alignment wrapText="1"/>
    </xf>
  </cellXfs>
  <cellStyles count="21">
    <cellStyle name="Comma 2" xfId="5" xr:uid="{940047EF-7B3E-415E-B0DE-D413788A0C99}"/>
    <cellStyle name="Comma 2 2" xfId="16" xr:uid="{8060671D-B1BB-4224-832D-568C6BB748D2}"/>
    <cellStyle name="Comma 2 3" xfId="11" xr:uid="{65345A5D-E125-424D-933E-26132C317543}"/>
    <cellStyle name="Hyperlink" xfId="20" builtinId="8"/>
    <cellStyle name="Normal" xfId="0" builtinId="0"/>
    <cellStyle name="Normal 2" xfId="1" xr:uid="{943D0BA0-6F71-4B15-AD29-27961CBF225F}"/>
    <cellStyle name="Normal 2 2" xfId="2" xr:uid="{D9E5C310-2DCC-45B2-AD31-43C0EDA35864}"/>
    <cellStyle name="Normal 2 2 2" xfId="4" xr:uid="{850EAA5A-252D-4F51-BB9C-8FE394058089}"/>
    <cellStyle name="Normal 2 3" xfId="3" xr:uid="{6686C2FD-1035-4777-BE2B-C98A9FB5B604}"/>
    <cellStyle name="Normal 2 4" xfId="7" xr:uid="{F59E3F69-1BA0-4EC7-BCCB-1B06F04AC3C8}"/>
    <cellStyle name="Normal 3" xfId="6" xr:uid="{E40EF110-1D61-4109-8C15-ADE8FA12A9A1}"/>
    <cellStyle name="Normal 3 2" xfId="9" xr:uid="{6C1EC3BF-11F8-4592-9CC4-23AA2052C41B}"/>
    <cellStyle name="Normal 3 3" xfId="12" xr:uid="{59557607-350B-4BEC-8871-12F3DF5E9191}"/>
    <cellStyle name="Normal 3 4" xfId="13" xr:uid="{EA3DE6CD-566B-409A-801E-DFE77880FD51}"/>
    <cellStyle name="Normal 3 5" xfId="18" xr:uid="{A506D7FF-9568-4D4F-8001-1971A95AFAEC}"/>
    <cellStyle name="Normal 3 6" xfId="8" xr:uid="{0470381D-F8A6-4487-8F29-E9395D7E679A}"/>
    <cellStyle name="Normal 4" xfId="19" xr:uid="{115C7F2F-D2BB-4D3C-A4F1-F963E751CD73}"/>
    <cellStyle name="Normal 5" xfId="10" xr:uid="{C0975A94-07B0-4986-8693-9E6027A086ED}"/>
    <cellStyle name="Normal 5 2" xfId="15" xr:uid="{794898D4-4C0E-43FC-AB14-343869EB3A4C}"/>
    <cellStyle name="Normal 6" xfId="14" xr:uid="{DA3FB3B1-DDA9-4D93-AED5-BDC830E84A3C}"/>
    <cellStyle name="Normal 7" xfId="17" xr:uid="{A4411806-4620-4C61-A9E8-44840A6115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riv/EAchem/21Chem/smpstts2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eldSheet_metadata2021"/>
      <sheetName val="CSMI_21"/>
      <sheetName val="VolsFiltered"/>
      <sheetName val="Sitecodes21"/>
      <sheetName val="analysis_status"/>
      <sheetName val="detection limits"/>
      <sheetName val="holding_times"/>
      <sheetName val="blanksdups"/>
      <sheetName val="IpomPCNP"/>
      <sheetName val="Log"/>
      <sheetName val="smpstts2021"/>
      <sheetName val="FieldSheetProcessi_metadata2021"/>
      <sheetName val="CSMI_WQ"/>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8A0FC-220B-4447-9325-6E50B76A2FD4}">
  <dimension ref="A1:P87"/>
  <sheetViews>
    <sheetView tabSelected="1" zoomScale="110" zoomScaleNormal="20" workbookViewId="0">
      <selection activeCell="B4" sqref="B4"/>
    </sheetView>
  </sheetViews>
  <sheetFormatPr defaultColWidth="8.81640625" defaultRowHeight="14.5" x14ac:dyDescent="0.35"/>
  <cols>
    <col min="1" max="1" width="35.453125" style="11" customWidth="1"/>
    <col min="2" max="2" width="82.26953125" style="11" customWidth="1"/>
    <col min="3" max="3" width="22.7265625" style="11" customWidth="1"/>
    <col min="4" max="4" width="16.453125" style="11" customWidth="1"/>
    <col min="5" max="16384" width="8.81640625" style="11"/>
  </cols>
  <sheetData>
    <row r="1" spans="1:16" x14ac:dyDescent="0.35">
      <c r="A1" s="10" t="s">
        <v>2</v>
      </c>
      <c r="B1" s="53" t="s">
        <v>116</v>
      </c>
    </row>
    <row r="2" spans="1:16" x14ac:dyDescent="0.35">
      <c r="A2" s="10"/>
      <c r="B2" s="53" t="s">
        <v>39</v>
      </c>
    </row>
    <row r="3" spans="1:16" customFormat="1" x14ac:dyDescent="0.35">
      <c r="A3" s="92"/>
    </row>
    <row r="4" spans="1:16" customFormat="1" ht="90.5" x14ac:dyDescent="0.35">
      <c r="A4" s="93" t="s">
        <v>182</v>
      </c>
      <c r="B4" s="100" t="s">
        <v>184</v>
      </c>
      <c r="C4" s="94"/>
      <c r="D4" s="65"/>
      <c r="E4" s="65"/>
      <c r="F4" s="65"/>
      <c r="G4" s="65"/>
      <c r="H4" s="65"/>
      <c r="I4" s="65"/>
      <c r="J4" s="65"/>
      <c r="K4" s="65"/>
    </row>
    <row r="5" spans="1:16" customFormat="1" x14ac:dyDescent="0.35">
      <c r="A5" s="95"/>
      <c r="B5" s="96" t="s">
        <v>183</v>
      </c>
      <c r="C5" s="65"/>
      <c r="D5" s="65"/>
      <c r="E5" s="65"/>
      <c r="F5" s="65"/>
      <c r="G5" s="65"/>
      <c r="H5" s="65"/>
      <c r="I5" s="65"/>
      <c r="J5" s="65"/>
      <c r="K5" s="65"/>
    </row>
    <row r="6" spans="1:16" x14ac:dyDescent="0.35">
      <c r="A6" s="12"/>
    </row>
    <row r="7" spans="1:16" ht="71.150000000000006" customHeight="1" x14ac:dyDescent="0.35">
      <c r="A7" s="13" t="s">
        <v>3</v>
      </c>
      <c r="B7" s="14" t="s">
        <v>4</v>
      </c>
    </row>
    <row r="8" spans="1:16" x14ac:dyDescent="0.35">
      <c r="A8" s="12"/>
    </row>
    <row r="9" spans="1:16" ht="90.75" customHeight="1" x14ac:dyDescent="0.4">
      <c r="A9" s="13" t="s">
        <v>5</v>
      </c>
      <c r="B9" s="15" t="s">
        <v>40</v>
      </c>
      <c r="C9" s="97"/>
      <c r="D9" s="97"/>
      <c r="E9" s="97"/>
      <c r="F9" s="97"/>
      <c r="G9" s="97"/>
      <c r="H9" s="97"/>
      <c r="I9" s="97"/>
      <c r="J9" s="97"/>
      <c r="K9" s="97"/>
      <c r="L9" s="97"/>
      <c r="M9" s="97"/>
      <c r="N9" s="97"/>
      <c r="O9" s="97"/>
      <c r="P9" s="97"/>
    </row>
    <row r="11" spans="1:16" ht="102.65" customHeight="1" x14ac:dyDescent="0.35">
      <c r="A11" s="13" t="s">
        <v>6</v>
      </c>
      <c r="B11" s="16" t="s">
        <v>41</v>
      </c>
    </row>
    <row r="13" spans="1:16" ht="188.5" x14ac:dyDescent="0.35">
      <c r="A13" s="13" t="s">
        <v>7</v>
      </c>
      <c r="B13" s="16" t="s">
        <v>8</v>
      </c>
    </row>
    <row r="14" spans="1:16" x14ac:dyDescent="0.35">
      <c r="A14" s="53" t="s">
        <v>117</v>
      </c>
      <c r="B14" s="16"/>
    </row>
    <row r="15" spans="1:16" x14ac:dyDescent="0.35">
      <c r="B15" s="16"/>
    </row>
    <row r="16" spans="1:16" x14ac:dyDescent="0.35">
      <c r="A16" s="11" t="s">
        <v>9</v>
      </c>
      <c r="B16" s="11" t="s">
        <v>10</v>
      </c>
    </row>
    <row r="17" spans="1:6" ht="16" x14ac:dyDescent="0.4">
      <c r="A17" s="17" t="s">
        <v>11</v>
      </c>
      <c r="B17" s="18" t="s">
        <v>12</v>
      </c>
      <c r="C17" s="18"/>
    </row>
    <row r="18" spans="1:6" ht="16" x14ac:dyDescent="0.4">
      <c r="A18" s="17" t="s">
        <v>13</v>
      </c>
      <c r="B18" s="18" t="s">
        <v>14</v>
      </c>
      <c r="C18" s="18"/>
    </row>
    <row r="19" spans="1:6" ht="16" x14ac:dyDescent="0.4">
      <c r="A19" s="17" t="s">
        <v>15</v>
      </c>
      <c r="B19" s="18" t="s">
        <v>16</v>
      </c>
      <c r="C19" s="18"/>
    </row>
    <row r="20" spans="1:6" ht="16" x14ac:dyDescent="0.4">
      <c r="A20" s="17" t="s">
        <v>17</v>
      </c>
      <c r="B20" s="18" t="s">
        <v>18</v>
      </c>
      <c r="C20" s="18"/>
    </row>
    <row r="21" spans="1:6" ht="16" x14ac:dyDescent="0.4">
      <c r="A21" s="17" t="s">
        <v>19</v>
      </c>
      <c r="B21" s="18" t="s">
        <v>20</v>
      </c>
      <c r="C21" s="18"/>
    </row>
    <row r="22" spans="1:6" ht="15.65" customHeight="1" x14ac:dyDescent="0.4">
      <c r="A22" s="17" t="s">
        <v>21</v>
      </c>
      <c r="B22" s="18" t="s">
        <v>22</v>
      </c>
      <c r="C22" s="18"/>
    </row>
    <row r="23" spans="1:6" ht="15.65" customHeight="1" x14ac:dyDescent="0.4">
      <c r="A23" s="17"/>
      <c r="B23" s="18"/>
      <c r="C23" s="18"/>
    </row>
    <row r="24" spans="1:6" s="53" customFormat="1" x14ac:dyDescent="0.35">
      <c r="A24" s="62" t="s">
        <v>23</v>
      </c>
      <c r="B24" s="62" t="s">
        <v>170</v>
      </c>
      <c r="C24" s="57"/>
      <c r="D24" s="63"/>
      <c r="E24" s="63"/>
    </row>
    <row r="25" spans="1:6" s="19" customFormat="1" ht="45" customHeight="1" thickBot="1" x14ac:dyDescent="0.45">
      <c r="A25" s="58" t="s">
        <v>125</v>
      </c>
      <c r="B25" s="58" t="s">
        <v>104</v>
      </c>
      <c r="C25" s="59" t="s">
        <v>26</v>
      </c>
      <c r="D25" s="60" t="s">
        <v>27</v>
      </c>
      <c r="E25" s="61" t="s">
        <v>107</v>
      </c>
    </row>
    <row r="26" spans="1:6" s="69" customFormat="1" ht="16" x14ac:dyDescent="0.4">
      <c r="A26" s="64" t="s">
        <v>126</v>
      </c>
      <c r="B26" s="65" t="s">
        <v>142</v>
      </c>
      <c r="C26" s="66">
        <v>3.25</v>
      </c>
      <c r="D26" s="67">
        <f>C26/2</f>
        <v>1.625</v>
      </c>
      <c r="E26" s="68">
        <f>C26*5</f>
        <v>16.25</v>
      </c>
      <c r="F26" s="68"/>
    </row>
    <row r="27" spans="1:6" s="69" customFormat="1" ht="16" x14ac:dyDescent="0.4">
      <c r="A27" s="64" t="s">
        <v>127</v>
      </c>
      <c r="B27" s="65" t="s">
        <v>143</v>
      </c>
      <c r="C27" s="66">
        <v>1.75</v>
      </c>
      <c r="D27" s="67">
        <f t="shared" ref="D27:D41" si="0">C27/2</f>
        <v>0.875</v>
      </c>
      <c r="E27" s="68">
        <f t="shared" ref="E27:E41" si="1">C27*5</f>
        <v>8.75</v>
      </c>
      <c r="F27" s="68"/>
    </row>
    <row r="28" spans="1:6" s="69" customFormat="1" ht="16" x14ac:dyDescent="0.4">
      <c r="A28" s="64" t="s">
        <v>128</v>
      </c>
      <c r="B28" s="65" t="s">
        <v>144</v>
      </c>
      <c r="C28" s="66">
        <v>0.8</v>
      </c>
      <c r="D28" s="67">
        <f t="shared" si="0"/>
        <v>0.4</v>
      </c>
      <c r="E28" s="68">
        <f t="shared" si="1"/>
        <v>4</v>
      </c>
    </row>
    <row r="29" spans="1:6" s="69" customFormat="1" ht="16" x14ac:dyDescent="0.4">
      <c r="A29" s="70" t="s">
        <v>129</v>
      </c>
      <c r="B29" s="65" t="s">
        <v>145</v>
      </c>
      <c r="C29" s="67">
        <v>17</v>
      </c>
      <c r="D29" s="67">
        <f t="shared" si="0"/>
        <v>8.5</v>
      </c>
      <c r="E29" s="68">
        <f t="shared" si="1"/>
        <v>85</v>
      </c>
      <c r="F29" s="68"/>
    </row>
    <row r="30" spans="1:6" s="69" customFormat="1" ht="16" x14ac:dyDescent="0.4">
      <c r="A30" s="70" t="s">
        <v>130</v>
      </c>
      <c r="B30" s="65" t="s">
        <v>146</v>
      </c>
      <c r="C30" s="67">
        <v>3</v>
      </c>
      <c r="D30" s="67">
        <f t="shared" si="0"/>
        <v>1.5</v>
      </c>
      <c r="E30" s="68">
        <f t="shared" si="1"/>
        <v>15</v>
      </c>
      <c r="F30" s="68"/>
    </row>
    <row r="31" spans="1:6" s="69" customFormat="1" ht="16" x14ac:dyDescent="0.4">
      <c r="A31" s="70" t="s">
        <v>131</v>
      </c>
      <c r="B31" s="65" t="s">
        <v>147</v>
      </c>
      <c r="C31" s="67">
        <v>0.06</v>
      </c>
      <c r="D31" s="67">
        <f t="shared" si="0"/>
        <v>0.03</v>
      </c>
      <c r="E31" s="68">
        <f t="shared" si="1"/>
        <v>0.3</v>
      </c>
    </row>
    <row r="32" spans="1:6" s="69" customFormat="1" ht="16" x14ac:dyDescent="0.4">
      <c r="A32" s="70" t="s">
        <v>132</v>
      </c>
      <c r="B32" s="65" t="s">
        <v>148</v>
      </c>
      <c r="C32" s="67">
        <v>0.05</v>
      </c>
      <c r="D32" s="67">
        <f t="shared" si="0"/>
        <v>2.5000000000000001E-2</v>
      </c>
      <c r="E32" s="68">
        <f t="shared" si="1"/>
        <v>0.25</v>
      </c>
    </row>
    <row r="33" spans="1:5" s="69" customFormat="1" ht="16" x14ac:dyDescent="0.4">
      <c r="A33" s="70" t="s">
        <v>133</v>
      </c>
      <c r="B33" s="65" t="s">
        <v>149</v>
      </c>
      <c r="C33" s="67">
        <v>0.35</v>
      </c>
      <c r="D33" s="67">
        <f t="shared" si="0"/>
        <v>0.17499999999999999</v>
      </c>
      <c r="E33" s="68">
        <f t="shared" si="1"/>
        <v>1.75</v>
      </c>
    </row>
    <row r="34" spans="1:5" s="69" customFormat="1" ht="16" x14ac:dyDescent="0.4">
      <c r="A34" s="70" t="s">
        <v>134</v>
      </c>
      <c r="B34" s="65" t="s">
        <v>150</v>
      </c>
      <c r="C34" s="67">
        <v>0.03</v>
      </c>
      <c r="D34" s="67">
        <f t="shared" si="0"/>
        <v>1.4999999999999999E-2</v>
      </c>
      <c r="E34" s="68">
        <f t="shared" si="1"/>
        <v>0.15</v>
      </c>
    </row>
    <row r="35" spans="1:5" s="69" customFormat="1" ht="16" x14ac:dyDescent="0.4">
      <c r="A35" s="70" t="s">
        <v>135</v>
      </c>
      <c r="B35" s="65" t="s">
        <v>151</v>
      </c>
      <c r="C35" s="67">
        <v>0.15</v>
      </c>
      <c r="D35" s="67">
        <f t="shared" si="0"/>
        <v>7.4999999999999997E-2</v>
      </c>
      <c r="E35" s="68">
        <f t="shared" si="1"/>
        <v>0.75</v>
      </c>
    </row>
    <row r="36" spans="1:5" s="69" customFormat="1" ht="16" x14ac:dyDescent="0.4">
      <c r="A36" s="70" t="s">
        <v>136</v>
      </c>
      <c r="B36" s="65" t="s">
        <v>152</v>
      </c>
      <c r="C36" s="67">
        <v>0.15</v>
      </c>
      <c r="D36" s="67">
        <f t="shared" si="0"/>
        <v>7.4999999999999997E-2</v>
      </c>
      <c r="E36" s="68">
        <f t="shared" si="1"/>
        <v>0.75</v>
      </c>
    </row>
    <row r="37" spans="1:5" s="69" customFormat="1" ht="16" x14ac:dyDescent="0.4">
      <c r="A37" s="70" t="s">
        <v>137</v>
      </c>
      <c r="B37" s="65" t="s">
        <v>153</v>
      </c>
      <c r="C37" s="67">
        <v>0.15</v>
      </c>
      <c r="D37" s="67">
        <f t="shared" si="0"/>
        <v>7.4999999999999997E-2</v>
      </c>
      <c r="E37" s="68">
        <f t="shared" si="1"/>
        <v>0.75</v>
      </c>
    </row>
    <row r="38" spans="1:5" s="69" customFormat="1" ht="16" x14ac:dyDescent="0.4">
      <c r="A38" s="70" t="s">
        <v>138</v>
      </c>
      <c r="B38" s="65" t="s">
        <v>154</v>
      </c>
      <c r="C38" s="71">
        <v>0.1</v>
      </c>
      <c r="D38" s="67">
        <f t="shared" si="0"/>
        <v>0.05</v>
      </c>
      <c r="E38" s="68">
        <f t="shared" si="1"/>
        <v>0.5</v>
      </c>
    </row>
    <row r="39" spans="1:5" s="53" customFormat="1" ht="16" x14ac:dyDescent="0.4">
      <c r="A39" s="70" t="s">
        <v>139</v>
      </c>
      <c r="B39" s="65" t="s">
        <v>155</v>
      </c>
      <c r="C39" s="71">
        <v>0.1</v>
      </c>
      <c r="D39" s="67">
        <f t="shared" si="0"/>
        <v>0.05</v>
      </c>
      <c r="E39" s="68">
        <f t="shared" si="1"/>
        <v>0.5</v>
      </c>
    </row>
    <row r="40" spans="1:5" s="53" customFormat="1" ht="16" x14ac:dyDescent="0.4">
      <c r="A40" s="64" t="s">
        <v>140</v>
      </c>
      <c r="B40" s="65" t="s">
        <v>157</v>
      </c>
      <c r="C40" s="72">
        <v>4.0999999999999996</v>
      </c>
      <c r="D40" s="67">
        <f t="shared" si="0"/>
        <v>2.0499999999999998</v>
      </c>
      <c r="E40" s="68">
        <f t="shared" si="1"/>
        <v>20.5</v>
      </c>
    </row>
    <row r="41" spans="1:5" s="53" customFormat="1" ht="16" x14ac:dyDescent="0.4">
      <c r="A41" s="64" t="s">
        <v>141</v>
      </c>
      <c r="B41" s="65" t="s">
        <v>156</v>
      </c>
      <c r="C41" s="72">
        <v>28.75</v>
      </c>
      <c r="D41" s="67">
        <f t="shared" si="0"/>
        <v>14.375</v>
      </c>
      <c r="E41" s="68">
        <f t="shared" si="1"/>
        <v>143.75</v>
      </c>
    </row>
    <row r="42" spans="1:5" s="53" customFormat="1" ht="16" x14ac:dyDescent="0.4">
      <c r="A42" s="64"/>
      <c r="B42" s="66"/>
      <c r="C42" s="72"/>
      <c r="D42" s="67"/>
      <c r="E42" s="68"/>
    </row>
    <row r="43" spans="1:5" s="53" customFormat="1" ht="16" x14ac:dyDescent="0.4">
      <c r="A43" s="98" t="s">
        <v>173</v>
      </c>
      <c r="B43" s="98"/>
      <c r="C43" s="72"/>
      <c r="D43" s="67"/>
      <c r="E43" s="68"/>
    </row>
    <row r="44" spans="1:5" s="12" customFormat="1" ht="16.5" thickBot="1" x14ac:dyDescent="0.45">
      <c r="A44" s="59" t="s">
        <v>171</v>
      </c>
      <c r="B44" s="84" t="s">
        <v>172</v>
      </c>
      <c r="C44" s="73"/>
      <c r="D44" s="74"/>
      <c r="E44" s="75"/>
    </row>
    <row r="45" spans="1:5" s="53" customFormat="1" ht="16" x14ac:dyDescent="0.35">
      <c r="A45" s="76" t="s">
        <v>42</v>
      </c>
      <c r="B45" s="77" t="s">
        <v>158</v>
      </c>
    </row>
    <row r="46" spans="1:5" s="53" customFormat="1" ht="16" x14ac:dyDescent="0.35">
      <c r="A46" s="78" t="s">
        <v>45</v>
      </c>
      <c r="B46" s="79" t="s">
        <v>159</v>
      </c>
    </row>
    <row r="47" spans="1:5" s="53" customFormat="1" ht="16" x14ac:dyDescent="0.35">
      <c r="A47" s="78" t="s">
        <v>47</v>
      </c>
      <c r="B47" s="79" t="s">
        <v>168</v>
      </c>
    </row>
    <row r="48" spans="1:5" s="53" customFormat="1" ht="16" x14ac:dyDescent="0.35">
      <c r="A48" s="78" t="s">
        <v>43</v>
      </c>
      <c r="B48" s="79" t="s">
        <v>169</v>
      </c>
    </row>
    <row r="49" spans="1:2" s="53" customFormat="1" ht="16" x14ac:dyDescent="0.35">
      <c r="A49" s="78" t="s">
        <v>44</v>
      </c>
      <c r="B49" s="77" t="s">
        <v>167</v>
      </c>
    </row>
    <row r="50" spans="1:2" s="53" customFormat="1" ht="16" x14ac:dyDescent="0.35">
      <c r="A50" s="78" t="s">
        <v>46</v>
      </c>
      <c r="B50" s="79" t="s">
        <v>166</v>
      </c>
    </row>
    <row r="51" spans="1:2" s="53" customFormat="1" ht="16" x14ac:dyDescent="0.35">
      <c r="A51" s="78" t="s">
        <v>24</v>
      </c>
      <c r="B51" s="79" t="s">
        <v>165</v>
      </c>
    </row>
    <row r="52" spans="1:2" s="53" customFormat="1" ht="16" x14ac:dyDescent="0.35">
      <c r="A52" s="78" t="s">
        <v>25</v>
      </c>
      <c r="B52" s="80" t="s">
        <v>161</v>
      </c>
    </row>
    <row r="53" spans="1:2" s="53" customFormat="1" ht="16" x14ac:dyDescent="0.35">
      <c r="A53" s="76" t="s">
        <v>64</v>
      </c>
      <c r="B53" s="80" t="s">
        <v>162</v>
      </c>
    </row>
    <row r="54" spans="1:2" s="53" customFormat="1" ht="16" x14ac:dyDescent="0.35">
      <c r="A54" s="78" t="s">
        <v>65</v>
      </c>
      <c r="B54" s="80" t="s">
        <v>163</v>
      </c>
    </row>
    <row r="55" spans="1:2" s="53" customFormat="1" ht="32" x14ac:dyDescent="0.35">
      <c r="A55" s="78" t="s">
        <v>66</v>
      </c>
      <c r="B55" s="81" t="s">
        <v>160</v>
      </c>
    </row>
    <row r="56" spans="1:2" s="53" customFormat="1" ht="32" x14ac:dyDescent="0.35">
      <c r="A56" s="78" t="s">
        <v>67</v>
      </c>
      <c r="B56" s="80" t="s">
        <v>164</v>
      </c>
    </row>
    <row r="57" spans="1:2" s="53" customFormat="1" ht="16" x14ac:dyDescent="0.35">
      <c r="A57" s="82" t="s">
        <v>28</v>
      </c>
      <c r="B57" s="82" t="s">
        <v>126</v>
      </c>
    </row>
    <row r="58" spans="1:2" s="53" customFormat="1" ht="16" x14ac:dyDescent="0.35">
      <c r="A58" s="82" t="s">
        <v>29</v>
      </c>
      <c r="B58" s="82" t="s">
        <v>127</v>
      </c>
    </row>
    <row r="59" spans="1:2" s="53" customFormat="1" ht="16" x14ac:dyDescent="0.35">
      <c r="A59" s="82" t="s">
        <v>48</v>
      </c>
      <c r="B59" s="82" t="s">
        <v>128</v>
      </c>
    </row>
    <row r="60" spans="1:2" s="53" customFormat="1" ht="16" x14ac:dyDescent="0.35">
      <c r="A60" s="83" t="s">
        <v>49</v>
      </c>
      <c r="B60" s="83" t="s">
        <v>129</v>
      </c>
    </row>
    <row r="61" spans="1:2" s="53" customFormat="1" ht="16" x14ac:dyDescent="0.35">
      <c r="A61" s="83" t="s">
        <v>30</v>
      </c>
      <c r="B61" s="83" t="s">
        <v>130</v>
      </c>
    </row>
    <row r="62" spans="1:2" s="53" customFormat="1" ht="16" x14ac:dyDescent="0.35">
      <c r="A62" s="83" t="s">
        <v>31</v>
      </c>
      <c r="B62" s="83" t="s">
        <v>131</v>
      </c>
    </row>
    <row r="63" spans="1:2" s="53" customFormat="1" ht="16" x14ac:dyDescent="0.35">
      <c r="A63" s="83" t="s">
        <v>32</v>
      </c>
      <c r="B63" s="83" t="s">
        <v>132</v>
      </c>
    </row>
    <row r="64" spans="1:2" s="53" customFormat="1" ht="16" x14ac:dyDescent="0.35">
      <c r="A64" s="83" t="s">
        <v>33</v>
      </c>
      <c r="B64" s="83" t="s">
        <v>133</v>
      </c>
    </row>
    <row r="65" spans="1:2" s="53" customFormat="1" ht="16" x14ac:dyDescent="0.35">
      <c r="A65" s="83" t="s">
        <v>34</v>
      </c>
      <c r="B65" s="83" t="s">
        <v>134</v>
      </c>
    </row>
    <row r="66" spans="1:2" s="53" customFormat="1" ht="16" x14ac:dyDescent="0.35">
      <c r="A66" s="83" t="s">
        <v>35</v>
      </c>
      <c r="B66" s="83" t="s">
        <v>135</v>
      </c>
    </row>
    <row r="67" spans="1:2" s="53" customFormat="1" ht="16" x14ac:dyDescent="0.35">
      <c r="A67" s="83" t="s">
        <v>36</v>
      </c>
      <c r="B67" s="83" t="s">
        <v>136</v>
      </c>
    </row>
    <row r="68" spans="1:2" s="53" customFormat="1" ht="16" x14ac:dyDescent="0.35">
      <c r="A68" s="83" t="s">
        <v>37</v>
      </c>
      <c r="B68" s="83" t="s">
        <v>137</v>
      </c>
    </row>
    <row r="69" spans="1:2" s="53" customFormat="1" ht="16" x14ac:dyDescent="0.35">
      <c r="A69" s="83" t="s">
        <v>50</v>
      </c>
      <c r="B69" s="83" t="s">
        <v>138</v>
      </c>
    </row>
    <row r="70" spans="1:2" s="53" customFormat="1" ht="16" x14ac:dyDescent="0.35">
      <c r="A70" s="83" t="s">
        <v>51</v>
      </c>
      <c r="B70" s="83" t="s">
        <v>139</v>
      </c>
    </row>
    <row r="71" spans="1:2" s="53" customFormat="1" ht="16" x14ac:dyDescent="0.35">
      <c r="A71" s="82" t="s">
        <v>108</v>
      </c>
      <c r="B71" s="82" t="s">
        <v>140</v>
      </c>
    </row>
    <row r="72" spans="1:2" s="53" customFormat="1" ht="16" x14ac:dyDescent="0.35">
      <c r="A72" s="82" t="s">
        <v>109</v>
      </c>
      <c r="B72" s="82" t="s">
        <v>141</v>
      </c>
    </row>
    <row r="73" spans="1:2" s="53" customFormat="1" ht="16" x14ac:dyDescent="0.35">
      <c r="A73" s="83" t="s">
        <v>111</v>
      </c>
      <c r="B73" s="80"/>
    </row>
    <row r="74" spans="1:2" s="53" customFormat="1" ht="16" x14ac:dyDescent="0.35">
      <c r="A74" s="83"/>
      <c r="B74" s="80"/>
    </row>
    <row r="75" spans="1:2" s="53" customFormat="1" x14ac:dyDescent="0.35">
      <c r="A75" s="99" t="s">
        <v>181</v>
      </c>
      <c r="B75" s="99"/>
    </row>
    <row r="76" spans="1:2" x14ac:dyDescent="0.35">
      <c r="A76" s="53" t="s">
        <v>179</v>
      </c>
      <c r="B76" s="53" t="s">
        <v>180</v>
      </c>
    </row>
    <row r="77" spans="1:2" s="53" customFormat="1" ht="16" x14ac:dyDescent="0.35">
      <c r="A77" s="89" t="s">
        <v>45</v>
      </c>
      <c r="B77" s="79" t="s">
        <v>159</v>
      </c>
    </row>
    <row r="78" spans="1:2" s="53" customFormat="1" ht="16" x14ac:dyDescent="0.35">
      <c r="A78" s="89" t="s">
        <v>44</v>
      </c>
      <c r="B78" s="77" t="s">
        <v>167</v>
      </c>
    </row>
    <row r="79" spans="1:2" s="53" customFormat="1" ht="16" x14ac:dyDescent="0.35">
      <c r="A79" s="89" t="s">
        <v>46</v>
      </c>
      <c r="B79" s="79" t="s">
        <v>166</v>
      </c>
    </row>
    <row r="80" spans="1:2" s="53" customFormat="1" x14ac:dyDescent="0.35">
      <c r="A80" s="90" t="s">
        <v>118</v>
      </c>
      <c r="B80" s="53" t="s">
        <v>174</v>
      </c>
    </row>
    <row r="81" spans="1:2" s="53" customFormat="1" x14ac:dyDescent="0.35">
      <c r="A81" s="90" t="s">
        <v>119</v>
      </c>
      <c r="B81" s="53" t="s">
        <v>175</v>
      </c>
    </row>
    <row r="82" spans="1:2" s="53" customFormat="1" ht="16" x14ac:dyDescent="0.35">
      <c r="A82" s="91" t="s">
        <v>120</v>
      </c>
      <c r="B82" s="81" t="s">
        <v>160</v>
      </c>
    </row>
    <row r="83" spans="1:2" s="53" customFormat="1" ht="16" x14ac:dyDescent="0.35">
      <c r="A83" s="89" t="s">
        <v>24</v>
      </c>
      <c r="B83" s="79" t="s">
        <v>165</v>
      </c>
    </row>
    <row r="84" spans="1:2" s="53" customFormat="1" ht="16" x14ac:dyDescent="0.35">
      <c r="A84" s="89" t="s">
        <v>121</v>
      </c>
      <c r="B84" s="80" t="s">
        <v>176</v>
      </c>
    </row>
    <row r="85" spans="1:2" s="53" customFormat="1" ht="16" x14ac:dyDescent="0.35">
      <c r="A85" s="91" t="s">
        <v>122</v>
      </c>
      <c r="B85" s="80" t="s">
        <v>178</v>
      </c>
    </row>
    <row r="86" spans="1:2" s="53" customFormat="1" ht="16" x14ac:dyDescent="0.35">
      <c r="A86" s="91" t="s">
        <v>123</v>
      </c>
      <c r="B86" s="80" t="s">
        <v>177</v>
      </c>
    </row>
    <row r="87" spans="1:2" s="53" customFormat="1" ht="16" x14ac:dyDescent="0.35">
      <c r="A87" s="91" t="s">
        <v>111</v>
      </c>
      <c r="B87" s="80"/>
    </row>
  </sheetData>
  <mergeCells count="3">
    <mergeCell ref="C9:P9"/>
    <mergeCell ref="A43:B43"/>
    <mergeCell ref="A75:B7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4FD05-66E2-478C-BDD1-02EB863E0F83}">
  <dimension ref="A1:AC260"/>
  <sheetViews>
    <sheetView topLeftCell="L1" workbookViewId="0">
      <selection activeCell="L1" sqref="A1:XFD1048576"/>
    </sheetView>
  </sheetViews>
  <sheetFormatPr defaultRowHeight="12.5" x14ac:dyDescent="0.25"/>
  <cols>
    <col min="1" max="1" width="9.1796875" style="3"/>
    <col min="4" max="4" width="17.54296875" customWidth="1"/>
    <col min="7" max="8" width="9.1796875" style="25"/>
    <col min="10" max="10" width="9.1796875" style="3"/>
    <col min="17" max="17" width="8.453125" customWidth="1"/>
  </cols>
  <sheetData>
    <row r="1" spans="1:29" ht="64" x14ac:dyDescent="0.25">
      <c r="A1" s="20" t="s">
        <v>42</v>
      </c>
      <c r="B1" s="21" t="s">
        <v>45</v>
      </c>
      <c r="C1" s="21" t="s">
        <v>47</v>
      </c>
      <c r="D1" s="21" t="s">
        <v>43</v>
      </c>
      <c r="E1" s="21" t="s">
        <v>44</v>
      </c>
      <c r="F1" s="21" t="s">
        <v>46</v>
      </c>
      <c r="G1" s="48" t="s">
        <v>24</v>
      </c>
      <c r="H1" s="48" t="s">
        <v>25</v>
      </c>
      <c r="I1" s="20" t="s">
        <v>64</v>
      </c>
      <c r="J1" s="21" t="s">
        <v>65</v>
      </c>
      <c r="K1" s="21" t="s">
        <v>66</v>
      </c>
      <c r="L1" s="21" t="s">
        <v>67</v>
      </c>
      <c r="M1" s="22" t="s">
        <v>28</v>
      </c>
      <c r="N1" s="22" t="s">
        <v>29</v>
      </c>
      <c r="O1" s="22" t="s">
        <v>48</v>
      </c>
      <c r="P1" s="23" t="s">
        <v>49</v>
      </c>
      <c r="Q1" s="23" t="s">
        <v>30</v>
      </c>
      <c r="R1" s="23" t="s">
        <v>31</v>
      </c>
      <c r="S1" s="23" t="s">
        <v>32</v>
      </c>
      <c r="T1" s="23" t="s">
        <v>33</v>
      </c>
      <c r="U1" s="23" t="s">
        <v>34</v>
      </c>
      <c r="V1" s="23" t="s">
        <v>35</v>
      </c>
      <c r="W1" s="23" t="s">
        <v>36</v>
      </c>
      <c r="X1" s="23" t="s">
        <v>37</v>
      </c>
      <c r="Y1" s="23" t="s">
        <v>50</v>
      </c>
      <c r="Z1" s="23" t="s">
        <v>51</v>
      </c>
      <c r="AA1" s="22" t="s">
        <v>108</v>
      </c>
      <c r="AB1" s="22" t="s">
        <v>109</v>
      </c>
      <c r="AC1" s="51" t="s">
        <v>111</v>
      </c>
    </row>
    <row r="2" spans="1:29" x14ac:dyDescent="0.25">
      <c r="A2" s="3">
        <v>24113</v>
      </c>
      <c r="B2" s="25">
        <v>932</v>
      </c>
      <c r="C2" s="26">
        <v>45434</v>
      </c>
      <c r="D2" s="25" t="s">
        <v>53</v>
      </c>
      <c r="E2" s="25" t="s">
        <v>54</v>
      </c>
      <c r="F2" s="25" t="s">
        <v>57</v>
      </c>
      <c r="G2" s="27">
        <v>20.9</v>
      </c>
      <c r="H2" s="28">
        <v>0.58333333333333337</v>
      </c>
      <c r="I2" s="25" t="s">
        <v>68</v>
      </c>
      <c r="J2" s="3" t="s">
        <v>55</v>
      </c>
      <c r="K2" s="25" t="s">
        <v>75</v>
      </c>
      <c r="L2" s="27">
        <v>10.199999999999999</v>
      </c>
      <c r="M2" s="38">
        <v>6.71</v>
      </c>
      <c r="N2" s="4">
        <v>148</v>
      </c>
      <c r="O2" s="39">
        <v>0.96</v>
      </c>
      <c r="P2" s="4">
        <v>314.37612258280228</v>
      </c>
      <c r="Q2" s="39">
        <v>4.16</v>
      </c>
      <c r="R2" s="4">
        <v>1.353</v>
      </c>
      <c r="S2" s="4">
        <v>9.3960000000000008</v>
      </c>
      <c r="T2" s="4">
        <v>31.94</v>
      </c>
      <c r="U2" s="4">
        <v>8.6300000000000008</v>
      </c>
      <c r="V2" s="36">
        <v>16.999099999999999</v>
      </c>
      <c r="W2" s="36">
        <v>19.924800000000001</v>
      </c>
      <c r="X2" s="4">
        <v>2.7558897100625357</v>
      </c>
      <c r="Y2" s="39">
        <v>0.48418632429002689</v>
      </c>
      <c r="Z2" s="4">
        <v>1.99</v>
      </c>
      <c r="AA2" s="4">
        <v>183</v>
      </c>
      <c r="AB2" s="4">
        <v>632</v>
      </c>
    </row>
    <row r="3" spans="1:29" x14ac:dyDescent="0.25">
      <c r="A3" s="3">
        <v>24114</v>
      </c>
      <c r="B3" s="25">
        <v>932</v>
      </c>
      <c r="C3" s="26">
        <v>45434</v>
      </c>
      <c r="D3" s="25" t="s">
        <v>53</v>
      </c>
      <c r="E3" s="25" t="s">
        <v>54</v>
      </c>
      <c r="F3" s="25" t="s">
        <v>57</v>
      </c>
      <c r="G3" s="27">
        <v>20.9</v>
      </c>
      <c r="H3" s="28">
        <v>0.58333333333333337</v>
      </c>
      <c r="I3" s="25" t="s">
        <v>68</v>
      </c>
      <c r="J3" s="3" t="s">
        <v>55</v>
      </c>
      <c r="K3" s="25" t="s">
        <v>38</v>
      </c>
      <c r="L3" s="27">
        <v>19.899999999999999</v>
      </c>
      <c r="M3" s="38">
        <v>15.5</v>
      </c>
      <c r="N3" s="4">
        <v>131</v>
      </c>
      <c r="O3" s="39">
        <v>0.85499999999999998</v>
      </c>
      <c r="P3" s="4">
        <v>317</v>
      </c>
      <c r="Q3" s="39">
        <v>5.81</v>
      </c>
      <c r="R3" s="4">
        <v>1.3080000000000001</v>
      </c>
      <c r="S3" s="4">
        <v>9.24</v>
      </c>
      <c r="T3" s="4">
        <v>31.09</v>
      </c>
      <c r="U3" s="4">
        <v>8.4139999999999997</v>
      </c>
      <c r="V3" s="36">
        <v>16.5898</v>
      </c>
      <c r="W3" s="36">
        <v>19.748699999999999</v>
      </c>
      <c r="X3" s="4">
        <v>2.5769528140989197</v>
      </c>
      <c r="Y3" s="4">
        <v>0.5529198163484188</v>
      </c>
      <c r="Z3" s="4">
        <v>4</v>
      </c>
      <c r="AA3" s="4">
        <v>81.5</v>
      </c>
      <c r="AB3" s="4">
        <v>896</v>
      </c>
    </row>
    <row r="4" spans="1:29" x14ac:dyDescent="0.25">
      <c r="A4" s="3">
        <v>24116</v>
      </c>
      <c r="B4" s="25">
        <v>932</v>
      </c>
      <c r="C4" s="26">
        <v>45434</v>
      </c>
      <c r="D4" s="25" t="s">
        <v>53</v>
      </c>
      <c r="E4" s="25" t="s">
        <v>54</v>
      </c>
      <c r="F4" s="25" t="s">
        <v>57</v>
      </c>
      <c r="G4" s="27">
        <v>6.5</v>
      </c>
      <c r="H4" s="28">
        <v>0.70833333333333337</v>
      </c>
      <c r="I4" s="25" t="s">
        <v>68</v>
      </c>
      <c r="J4" s="3" t="s">
        <v>55</v>
      </c>
      <c r="K4" s="25" t="s">
        <v>58</v>
      </c>
      <c r="L4" s="27">
        <v>1</v>
      </c>
      <c r="M4" s="38">
        <v>9.16</v>
      </c>
      <c r="N4" s="4">
        <v>457</v>
      </c>
      <c r="O4" s="43">
        <v>0.4</v>
      </c>
      <c r="P4" s="4">
        <v>699</v>
      </c>
      <c r="Q4" s="4">
        <v>38.9</v>
      </c>
      <c r="R4" s="4">
        <v>1.4410000000000001</v>
      </c>
      <c r="S4" s="4">
        <v>11.06</v>
      </c>
      <c r="T4" s="4">
        <v>30.33</v>
      </c>
      <c r="U4" s="4">
        <v>8.468</v>
      </c>
      <c r="V4" s="36">
        <v>19.093499999999999</v>
      </c>
      <c r="W4" s="36">
        <v>20.273399999999999</v>
      </c>
      <c r="X4" s="7" t="s">
        <v>1</v>
      </c>
      <c r="Y4" s="4">
        <v>0.51982591276474865</v>
      </c>
      <c r="Z4" s="4">
        <v>1.54</v>
      </c>
      <c r="AA4" s="4">
        <v>297</v>
      </c>
      <c r="AB4" s="4">
        <v>1040</v>
      </c>
    </row>
    <row r="5" spans="1:29" x14ac:dyDescent="0.25">
      <c r="A5" s="45">
        <v>24317</v>
      </c>
      <c r="B5" s="25">
        <v>932</v>
      </c>
      <c r="C5" s="26">
        <v>45505</v>
      </c>
      <c r="D5" s="33" t="s">
        <v>105</v>
      </c>
      <c r="E5" s="25" t="s">
        <v>54</v>
      </c>
      <c r="F5" s="25" t="s">
        <v>57</v>
      </c>
      <c r="G5" s="25">
        <v>20</v>
      </c>
      <c r="H5" s="28">
        <v>0.32222222222222224</v>
      </c>
      <c r="I5" s="25" t="s">
        <v>56</v>
      </c>
      <c r="J5" s="3" t="s">
        <v>55</v>
      </c>
      <c r="K5" s="25" t="s">
        <v>58</v>
      </c>
      <c r="L5" s="25">
        <v>2.12</v>
      </c>
      <c r="M5" s="3">
        <v>14.4</v>
      </c>
      <c r="N5" s="36">
        <v>114</v>
      </c>
      <c r="O5" s="43">
        <v>0.4</v>
      </c>
      <c r="P5" s="4">
        <v>324</v>
      </c>
      <c r="Q5" s="4">
        <v>18.5</v>
      </c>
      <c r="R5" s="4">
        <v>1.395</v>
      </c>
      <c r="S5" s="4">
        <v>9.51</v>
      </c>
      <c r="T5" s="4">
        <v>30.72</v>
      </c>
      <c r="U5" s="4">
        <v>8.7119999999999997</v>
      </c>
      <c r="V5" s="36">
        <v>16.3886</v>
      </c>
      <c r="W5" s="36">
        <v>19.3306</v>
      </c>
      <c r="X5" s="4">
        <v>2.9060000000000001</v>
      </c>
      <c r="Y5" s="39">
        <v>0.21332305603973739</v>
      </c>
      <c r="Z5" s="4">
        <v>1.74</v>
      </c>
      <c r="AA5" s="6">
        <v>171</v>
      </c>
      <c r="AB5" s="6">
        <v>1540</v>
      </c>
    </row>
    <row r="6" spans="1:29" x14ac:dyDescent="0.25">
      <c r="A6" s="45">
        <v>24319</v>
      </c>
      <c r="B6" s="25">
        <v>932</v>
      </c>
      <c r="C6" s="26">
        <v>45505</v>
      </c>
      <c r="D6" s="33" t="s">
        <v>105</v>
      </c>
      <c r="E6" s="25" t="s">
        <v>54</v>
      </c>
      <c r="F6" s="25" t="s">
        <v>57</v>
      </c>
      <c r="G6" s="25">
        <v>20</v>
      </c>
      <c r="H6" s="28">
        <v>0.32222222222222224</v>
      </c>
      <c r="I6" s="25" t="s">
        <v>56</v>
      </c>
      <c r="J6" s="3" t="s">
        <v>55</v>
      </c>
      <c r="K6" s="25" t="s">
        <v>38</v>
      </c>
      <c r="L6" s="25">
        <v>20.170000000000002</v>
      </c>
      <c r="M6" s="3">
        <v>42.8</v>
      </c>
      <c r="N6" s="36">
        <v>193</v>
      </c>
      <c r="O6" s="39">
        <v>1.23</v>
      </c>
      <c r="P6" s="4">
        <v>381</v>
      </c>
      <c r="Q6" s="43">
        <v>1.5</v>
      </c>
      <c r="R6" s="4">
        <v>1.351</v>
      </c>
      <c r="S6" s="4">
        <v>9.3979999999999997</v>
      </c>
      <c r="T6" s="4">
        <v>31.7</v>
      </c>
      <c r="U6" s="4">
        <v>8.5559999999999992</v>
      </c>
      <c r="V6" s="36">
        <v>16.043700000000001</v>
      </c>
      <c r="W6" s="36">
        <v>18.733799999999999</v>
      </c>
      <c r="X6" s="4">
        <v>2.6160000000000001</v>
      </c>
      <c r="Y6" s="4">
        <v>0.99342919594364609</v>
      </c>
      <c r="Z6" s="4">
        <v>2.16</v>
      </c>
      <c r="AA6" s="6">
        <v>187</v>
      </c>
      <c r="AB6" s="6">
        <v>1460</v>
      </c>
    </row>
    <row r="7" spans="1:29" x14ac:dyDescent="0.25">
      <c r="A7" s="45">
        <v>24320</v>
      </c>
      <c r="B7" s="25">
        <v>932</v>
      </c>
      <c r="C7" s="26">
        <v>45505</v>
      </c>
      <c r="D7" s="33" t="s">
        <v>105</v>
      </c>
      <c r="E7" s="25" t="s">
        <v>54</v>
      </c>
      <c r="F7" s="25" t="s">
        <v>57</v>
      </c>
      <c r="G7" s="25">
        <v>20</v>
      </c>
      <c r="H7" s="28">
        <v>0.32222222222222224</v>
      </c>
      <c r="I7" s="25" t="s">
        <v>56</v>
      </c>
      <c r="J7" s="3" t="s">
        <v>55</v>
      </c>
      <c r="K7" s="25" t="s">
        <v>99</v>
      </c>
      <c r="L7" s="25">
        <v>2.12</v>
      </c>
      <c r="M7" s="3">
        <v>25.2</v>
      </c>
      <c r="N7" s="37">
        <v>111</v>
      </c>
      <c r="O7" s="43">
        <v>0.4</v>
      </c>
      <c r="P7" s="4">
        <v>339</v>
      </c>
      <c r="Q7" s="39">
        <v>4</v>
      </c>
      <c r="R7" s="4">
        <v>1.3680000000000001</v>
      </c>
      <c r="S7" s="4">
        <v>9.2940000000000005</v>
      </c>
      <c r="T7" s="4">
        <v>31.06</v>
      </c>
      <c r="U7" s="4">
        <v>8.5079999999999991</v>
      </c>
      <c r="V7" s="36">
        <v>16.2437</v>
      </c>
      <c r="W7" s="36">
        <v>19.057300000000001</v>
      </c>
      <c r="X7" s="4">
        <v>2.9510000000000001</v>
      </c>
      <c r="Y7" s="39">
        <v>0.21759498490465515</v>
      </c>
      <c r="Z7" s="4">
        <v>1.6</v>
      </c>
      <c r="AA7" s="6">
        <v>160</v>
      </c>
      <c r="AB7" s="6">
        <v>1490</v>
      </c>
    </row>
    <row r="8" spans="1:29" x14ac:dyDescent="0.25">
      <c r="A8" s="3">
        <v>91</v>
      </c>
      <c r="B8" s="25">
        <v>932</v>
      </c>
      <c r="C8" s="26">
        <v>45551</v>
      </c>
      <c r="D8" s="25" t="s">
        <v>53</v>
      </c>
      <c r="E8" s="25" t="s">
        <v>54</v>
      </c>
      <c r="F8" s="25" t="s">
        <v>57</v>
      </c>
      <c r="G8" s="27">
        <v>20.399999999999999</v>
      </c>
      <c r="H8" s="28">
        <v>0.20208333333333331</v>
      </c>
      <c r="I8" s="25" t="s">
        <v>68</v>
      </c>
      <c r="J8" s="3" t="s">
        <v>55</v>
      </c>
      <c r="K8" s="25" t="s">
        <v>58</v>
      </c>
      <c r="L8" s="27">
        <v>5</v>
      </c>
      <c r="M8" s="40">
        <v>14.8</v>
      </c>
      <c r="N8" s="4">
        <v>29.3</v>
      </c>
      <c r="O8" s="43">
        <v>0.4</v>
      </c>
      <c r="P8" s="4">
        <v>266</v>
      </c>
      <c r="Q8" s="39">
        <v>8.6199999999999992</v>
      </c>
      <c r="R8" s="4">
        <v>1.29</v>
      </c>
      <c r="S8" s="4">
        <v>8.0860000000000003</v>
      </c>
      <c r="T8" s="4">
        <v>30.82</v>
      </c>
      <c r="U8" s="4">
        <v>8.5440000000000005</v>
      </c>
      <c r="V8" s="36">
        <v>16.835000000000001</v>
      </c>
      <c r="W8" s="36">
        <v>20.269100000000002</v>
      </c>
      <c r="X8" s="4">
        <v>2.6219999999999999</v>
      </c>
      <c r="Y8" s="39">
        <v>0.39018091104733338</v>
      </c>
      <c r="Z8" s="4">
        <v>3.28</v>
      </c>
      <c r="AA8" s="4">
        <v>156</v>
      </c>
      <c r="AB8" s="4">
        <v>1190</v>
      </c>
    </row>
    <row r="9" spans="1:29" x14ac:dyDescent="0.25">
      <c r="A9" s="3">
        <v>92</v>
      </c>
      <c r="B9" s="25">
        <v>932</v>
      </c>
      <c r="C9" s="26">
        <v>45551</v>
      </c>
      <c r="D9" s="25" t="s">
        <v>53</v>
      </c>
      <c r="E9" s="25" t="s">
        <v>54</v>
      </c>
      <c r="F9" s="25" t="s">
        <v>57</v>
      </c>
      <c r="G9" s="27">
        <v>20.399999999999999</v>
      </c>
      <c r="H9" s="28">
        <v>0.20208333333333331</v>
      </c>
      <c r="I9" s="25" t="s">
        <v>68</v>
      </c>
      <c r="J9" s="3" t="s">
        <v>55</v>
      </c>
      <c r="K9" s="25" t="s">
        <v>75</v>
      </c>
      <c r="L9" s="27">
        <v>10.6</v>
      </c>
      <c r="M9" s="38">
        <v>12.1</v>
      </c>
      <c r="N9" s="4">
        <v>35.6</v>
      </c>
      <c r="O9" s="43">
        <v>0.4</v>
      </c>
      <c r="P9" s="4">
        <v>272</v>
      </c>
      <c r="Q9" s="39">
        <v>10.199999999999999</v>
      </c>
      <c r="R9" s="4">
        <v>1.36</v>
      </c>
      <c r="S9" s="4">
        <v>8.33</v>
      </c>
      <c r="T9" s="4">
        <v>31.78</v>
      </c>
      <c r="U9" s="4">
        <v>8.452</v>
      </c>
      <c r="V9" s="36">
        <v>16.453700000000001</v>
      </c>
      <c r="W9" s="36">
        <v>19.877700000000001</v>
      </c>
      <c r="X9" s="4">
        <v>2.5739999999999998</v>
      </c>
      <c r="Y9" s="39">
        <v>0.43375458546949469</v>
      </c>
      <c r="Z9" s="4">
        <v>3.52</v>
      </c>
      <c r="AA9" s="4">
        <v>163</v>
      </c>
      <c r="AB9" s="4">
        <v>1120</v>
      </c>
    </row>
    <row r="10" spans="1:29" x14ac:dyDescent="0.25">
      <c r="A10" s="3">
        <v>93</v>
      </c>
      <c r="B10" s="25">
        <v>932</v>
      </c>
      <c r="C10" s="26">
        <v>45551</v>
      </c>
      <c r="D10" s="25" t="s">
        <v>53</v>
      </c>
      <c r="E10" s="25" t="s">
        <v>54</v>
      </c>
      <c r="F10" s="25" t="s">
        <v>57</v>
      </c>
      <c r="G10" s="27">
        <v>20.399999999999999</v>
      </c>
      <c r="H10" s="28">
        <v>0.20208333333333331</v>
      </c>
      <c r="I10" s="25" t="s">
        <v>68</v>
      </c>
      <c r="J10" s="3" t="s">
        <v>55</v>
      </c>
      <c r="K10" s="25" t="s">
        <v>38</v>
      </c>
      <c r="L10" s="27">
        <v>20.2</v>
      </c>
      <c r="M10" s="5">
        <v>35</v>
      </c>
      <c r="N10" s="4">
        <v>64.099999999999994</v>
      </c>
      <c r="O10" s="43">
        <v>0.4</v>
      </c>
      <c r="P10" s="4">
        <v>309</v>
      </c>
      <c r="Q10" s="39">
        <v>10</v>
      </c>
      <c r="R10" s="4">
        <v>1.3779999999999999</v>
      </c>
      <c r="S10" s="4">
        <v>8.6760000000000002</v>
      </c>
      <c r="T10" s="4">
        <v>31.72</v>
      </c>
      <c r="U10" s="4">
        <v>8.6120000000000001</v>
      </c>
      <c r="V10" s="36">
        <v>16.715699999999998</v>
      </c>
      <c r="W10" s="36">
        <v>20.263100000000001</v>
      </c>
      <c r="X10" s="4">
        <v>2.7530000000000001</v>
      </c>
      <c r="Y10" s="4">
        <v>0.79807026146978621</v>
      </c>
      <c r="Z10" s="4">
        <v>2.72</v>
      </c>
      <c r="AA10" s="4">
        <v>163</v>
      </c>
      <c r="AB10" s="4">
        <v>705</v>
      </c>
    </row>
    <row r="11" spans="1:29" x14ac:dyDescent="0.25">
      <c r="A11" s="3">
        <v>24118</v>
      </c>
      <c r="B11" s="25">
        <v>936</v>
      </c>
      <c r="C11" s="26">
        <v>45434</v>
      </c>
      <c r="D11" s="25" t="s">
        <v>53</v>
      </c>
      <c r="E11" s="25" t="s">
        <v>54</v>
      </c>
      <c r="F11" s="25" t="s">
        <v>57</v>
      </c>
      <c r="G11" s="27">
        <v>6.5</v>
      </c>
      <c r="H11" s="28">
        <v>0.70833333333333337</v>
      </c>
      <c r="I11" s="25" t="s">
        <v>68</v>
      </c>
      <c r="J11" s="3" t="s">
        <v>55</v>
      </c>
      <c r="K11" s="25" t="s">
        <v>38</v>
      </c>
      <c r="L11" s="27">
        <v>5.9</v>
      </c>
      <c r="M11" s="38">
        <v>10.1</v>
      </c>
      <c r="N11" s="4">
        <v>450</v>
      </c>
      <c r="O11" s="43">
        <v>0.4</v>
      </c>
      <c r="P11" s="4">
        <v>623.93683471175041</v>
      </c>
      <c r="Q11" s="39">
        <v>6</v>
      </c>
      <c r="R11" s="4">
        <v>1.448</v>
      </c>
      <c r="S11" s="4">
        <v>10.988</v>
      </c>
      <c r="T11" s="4">
        <v>30.2</v>
      </c>
      <c r="U11" s="4">
        <v>8.5399999999999991</v>
      </c>
      <c r="V11" s="36">
        <v>19.0686</v>
      </c>
      <c r="W11" s="36">
        <v>20.2942</v>
      </c>
      <c r="X11" s="4">
        <v>2.8346276293348489</v>
      </c>
      <c r="Y11" s="39">
        <v>0.4163013938619855</v>
      </c>
      <c r="Z11" s="4">
        <v>1.52</v>
      </c>
      <c r="AA11" s="4">
        <v>193</v>
      </c>
      <c r="AB11" s="4">
        <v>1130</v>
      </c>
    </row>
    <row r="12" spans="1:29" x14ac:dyDescent="0.25">
      <c r="A12" s="45">
        <v>24313</v>
      </c>
      <c r="B12" s="25">
        <v>936</v>
      </c>
      <c r="C12" s="26">
        <v>45505</v>
      </c>
      <c r="D12" s="33" t="s">
        <v>105</v>
      </c>
      <c r="E12" s="25" t="s">
        <v>54</v>
      </c>
      <c r="F12" s="25" t="s">
        <v>57</v>
      </c>
      <c r="G12" s="25">
        <v>6</v>
      </c>
      <c r="H12" s="28">
        <v>0.43472222222222223</v>
      </c>
      <c r="I12" s="25" t="s">
        <v>56</v>
      </c>
      <c r="J12" s="3" t="s">
        <v>55</v>
      </c>
      <c r="K12" s="25" t="s">
        <v>58</v>
      </c>
      <c r="L12" s="25">
        <v>2.0099999999999998</v>
      </c>
      <c r="M12" s="3">
        <v>16.5</v>
      </c>
      <c r="N12" s="4">
        <v>30.9</v>
      </c>
      <c r="O12" s="39">
        <v>1.17</v>
      </c>
      <c r="P12" s="4">
        <v>277</v>
      </c>
      <c r="Q12" s="39">
        <v>13.1</v>
      </c>
      <c r="R12" s="4">
        <v>1.296</v>
      </c>
      <c r="S12" s="4">
        <v>8.6920000000000002</v>
      </c>
      <c r="T12" s="4">
        <v>29.84</v>
      </c>
      <c r="U12" s="4">
        <v>8.3320000000000007</v>
      </c>
      <c r="V12" s="36">
        <v>14.884</v>
      </c>
      <c r="W12" s="36">
        <v>17.950500000000002</v>
      </c>
      <c r="X12" s="4">
        <v>2.899</v>
      </c>
      <c r="Y12" s="39">
        <v>0.38225258246439286</v>
      </c>
      <c r="Z12" s="4">
        <v>2.72</v>
      </c>
      <c r="AA12" s="6">
        <v>281</v>
      </c>
      <c r="AB12" s="6">
        <v>1960</v>
      </c>
    </row>
    <row r="13" spans="1:29" x14ac:dyDescent="0.25">
      <c r="A13" s="45">
        <v>24315</v>
      </c>
      <c r="B13" s="25">
        <v>936</v>
      </c>
      <c r="C13" s="26">
        <v>45505</v>
      </c>
      <c r="D13" s="33" t="s">
        <v>105</v>
      </c>
      <c r="E13" s="25" t="s">
        <v>54</v>
      </c>
      <c r="F13" s="25" t="s">
        <v>57</v>
      </c>
      <c r="G13" s="25">
        <v>6</v>
      </c>
      <c r="H13" s="28">
        <v>0.43472222222222223</v>
      </c>
      <c r="I13" s="25" t="s">
        <v>56</v>
      </c>
      <c r="J13" s="3" t="s">
        <v>55</v>
      </c>
      <c r="K13" s="25" t="s">
        <v>38</v>
      </c>
      <c r="L13" s="25">
        <v>3.97</v>
      </c>
      <c r="M13" s="3">
        <v>17.5</v>
      </c>
      <c r="N13" s="4">
        <v>32.200000000000003</v>
      </c>
      <c r="O13" s="43">
        <v>0.4</v>
      </c>
      <c r="P13" s="4">
        <v>282</v>
      </c>
      <c r="Q13" s="4">
        <v>25.2</v>
      </c>
      <c r="R13" s="4">
        <v>1.345</v>
      </c>
      <c r="S13" s="4">
        <v>8.6539999999999999</v>
      </c>
      <c r="T13" s="4">
        <v>29.18</v>
      </c>
      <c r="U13" s="4">
        <v>8.3699999999999992</v>
      </c>
      <c r="V13" s="36">
        <v>15.395099999999999</v>
      </c>
      <c r="W13" s="36">
        <v>18.591899999999999</v>
      </c>
      <c r="X13" s="4">
        <v>2.7629999999999999</v>
      </c>
      <c r="Y13" s="39">
        <v>0.4024495107833912</v>
      </c>
      <c r="Z13" s="4">
        <v>2.96</v>
      </c>
      <c r="AA13" s="6">
        <v>293</v>
      </c>
      <c r="AB13" s="6">
        <v>2280</v>
      </c>
    </row>
    <row r="14" spans="1:29" x14ac:dyDescent="0.25">
      <c r="A14" s="3">
        <v>94</v>
      </c>
      <c r="B14" s="25">
        <v>936</v>
      </c>
      <c r="C14" s="26">
        <v>45551</v>
      </c>
      <c r="D14" s="25" t="s">
        <v>53</v>
      </c>
      <c r="E14" s="25" t="s">
        <v>54</v>
      </c>
      <c r="F14" s="25" t="s">
        <v>57</v>
      </c>
      <c r="G14" s="27">
        <v>6.3</v>
      </c>
      <c r="H14" s="28">
        <v>0.30416666666666664</v>
      </c>
      <c r="I14" s="25" t="s">
        <v>68</v>
      </c>
      <c r="J14" s="3" t="s">
        <v>55</v>
      </c>
      <c r="K14" s="25" t="s">
        <v>58</v>
      </c>
      <c r="L14" s="27">
        <v>3.5</v>
      </c>
      <c r="M14" s="5">
        <v>33.4</v>
      </c>
      <c r="N14" s="4">
        <v>48.8</v>
      </c>
      <c r="O14" s="43">
        <v>0.4</v>
      </c>
      <c r="P14" s="4">
        <v>274</v>
      </c>
      <c r="Q14" s="39">
        <v>8.33</v>
      </c>
      <c r="R14" s="4">
        <v>1.3380000000000001</v>
      </c>
      <c r="S14" s="4">
        <v>9.032</v>
      </c>
      <c r="T14" s="4">
        <v>30.72</v>
      </c>
      <c r="U14" s="4">
        <v>8.5120000000000005</v>
      </c>
      <c r="V14" s="36">
        <v>16.677600000000002</v>
      </c>
      <c r="W14" s="36">
        <v>20.026700000000002</v>
      </c>
      <c r="X14" s="4">
        <v>2.6640000000000001</v>
      </c>
      <c r="Y14" s="39">
        <v>0.46451247329690265</v>
      </c>
      <c r="Z14" s="4">
        <v>2.44</v>
      </c>
      <c r="AA14" s="6">
        <v>110</v>
      </c>
      <c r="AB14" s="6">
        <v>537</v>
      </c>
    </row>
    <row r="15" spans="1:29" x14ac:dyDescent="0.25">
      <c r="A15" s="3">
        <v>96</v>
      </c>
      <c r="B15" s="25">
        <v>936</v>
      </c>
      <c r="C15" s="26">
        <v>45551</v>
      </c>
      <c r="D15" s="25" t="s">
        <v>53</v>
      </c>
      <c r="E15" s="25" t="s">
        <v>54</v>
      </c>
      <c r="F15" s="25" t="s">
        <v>57</v>
      </c>
      <c r="G15" s="27">
        <v>6.3</v>
      </c>
      <c r="H15" s="28">
        <v>0.30416666666666664</v>
      </c>
      <c r="I15" s="25" t="s">
        <v>68</v>
      </c>
      <c r="J15" s="3" t="s">
        <v>55</v>
      </c>
      <c r="K15" s="25" t="s">
        <v>38</v>
      </c>
      <c r="L15" s="27">
        <v>5.9</v>
      </c>
      <c r="M15" s="5">
        <v>17</v>
      </c>
      <c r="N15" s="4">
        <v>42.9</v>
      </c>
      <c r="O15" s="43">
        <v>0.4</v>
      </c>
      <c r="P15" s="4">
        <v>252</v>
      </c>
      <c r="Q15" s="39">
        <v>8.01</v>
      </c>
      <c r="R15" s="4">
        <v>1.371</v>
      </c>
      <c r="S15" s="4">
        <v>8.9459999999999997</v>
      </c>
      <c r="T15" s="4">
        <v>30.82</v>
      </c>
      <c r="U15" s="4">
        <v>8.3680000000000003</v>
      </c>
      <c r="V15" s="36">
        <v>18.0595</v>
      </c>
      <c r="W15" s="36">
        <v>21.982199999999999</v>
      </c>
      <c r="X15" s="4">
        <v>3.2429999999999999</v>
      </c>
      <c r="Y15" s="39">
        <v>0.47955013820760245</v>
      </c>
      <c r="Z15" s="4">
        <v>2.4</v>
      </c>
      <c r="AA15" s="4">
        <v>143</v>
      </c>
      <c r="AB15" s="4">
        <v>660</v>
      </c>
    </row>
    <row r="16" spans="1:29" x14ac:dyDescent="0.25">
      <c r="A16" s="3">
        <v>24120</v>
      </c>
      <c r="B16" s="25">
        <v>937</v>
      </c>
      <c r="C16" s="26">
        <v>45434</v>
      </c>
      <c r="D16" s="25" t="s">
        <v>53</v>
      </c>
      <c r="E16" s="25" t="s">
        <v>54</v>
      </c>
      <c r="F16" s="25" t="s">
        <v>57</v>
      </c>
      <c r="G16" s="27">
        <v>8.5</v>
      </c>
      <c r="H16" s="28">
        <v>0.375</v>
      </c>
      <c r="I16" s="25" t="s">
        <v>68</v>
      </c>
      <c r="J16" s="3" t="s">
        <v>55</v>
      </c>
      <c r="K16" s="25" t="s">
        <v>58</v>
      </c>
      <c r="L16" s="27">
        <v>4.0999999999999996</v>
      </c>
      <c r="M16" s="38">
        <v>14.8</v>
      </c>
      <c r="N16" s="4">
        <v>99.7</v>
      </c>
      <c r="O16" s="43">
        <v>0.4</v>
      </c>
      <c r="P16" s="4">
        <v>306</v>
      </c>
      <c r="Q16" s="39">
        <v>10.8</v>
      </c>
      <c r="R16" s="4">
        <v>1.323</v>
      </c>
      <c r="S16" s="4">
        <v>8.9120000000000008</v>
      </c>
      <c r="T16" s="4">
        <v>32.229999999999997</v>
      </c>
      <c r="U16" s="4">
        <v>8.5519999999999996</v>
      </c>
      <c r="V16" s="36">
        <v>16.312999999999999</v>
      </c>
      <c r="W16" s="36">
        <v>19.758199999999999</v>
      </c>
      <c r="X16" s="4">
        <v>2.688521887436043</v>
      </c>
      <c r="Y16" s="4">
        <v>0.58346803504103739</v>
      </c>
      <c r="Z16" s="4">
        <v>1.8</v>
      </c>
      <c r="AA16" s="4">
        <v>109</v>
      </c>
      <c r="AB16" s="4">
        <v>1090</v>
      </c>
    </row>
    <row r="17" spans="1:28" x14ac:dyDescent="0.25">
      <c r="A17" s="3">
        <v>24122</v>
      </c>
      <c r="B17" s="25">
        <v>937</v>
      </c>
      <c r="C17" s="26">
        <v>45434</v>
      </c>
      <c r="D17" s="25" t="s">
        <v>53</v>
      </c>
      <c r="E17" s="25" t="s">
        <v>54</v>
      </c>
      <c r="F17" s="25" t="s">
        <v>57</v>
      </c>
      <c r="G17" s="27">
        <v>8.5</v>
      </c>
      <c r="H17" s="28">
        <v>0.375</v>
      </c>
      <c r="I17" s="25" t="s">
        <v>68</v>
      </c>
      <c r="J17" s="3" t="s">
        <v>55</v>
      </c>
      <c r="K17" s="25" t="s">
        <v>38</v>
      </c>
      <c r="L17" s="27">
        <v>7.5</v>
      </c>
      <c r="M17" s="3">
        <v>17.600000000000001</v>
      </c>
      <c r="N17" s="4">
        <v>91.7</v>
      </c>
      <c r="O17" s="43">
        <v>0.4</v>
      </c>
      <c r="P17" s="4">
        <v>305.29567502701974</v>
      </c>
      <c r="Q17" s="39">
        <v>5.29</v>
      </c>
      <c r="R17" s="4">
        <v>1.3939999999999999</v>
      </c>
      <c r="S17" s="4">
        <v>9.0980000000000008</v>
      </c>
      <c r="T17" s="4">
        <v>32.56</v>
      </c>
      <c r="U17" s="4">
        <v>8.3919999999999995</v>
      </c>
      <c r="V17" s="36">
        <v>16.2011</v>
      </c>
      <c r="W17" s="36">
        <v>19.6586</v>
      </c>
      <c r="X17" s="4">
        <v>2.6998919840818649</v>
      </c>
      <c r="Y17" s="39">
        <v>0.46466940679196506</v>
      </c>
      <c r="Z17" s="4">
        <v>1.57</v>
      </c>
      <c r="AA17" s="4">
        <v>79.400000000000006</v>
      </c>
      <c r="AB17" s="4">
        <v>808</v>
      </c>
    </row>
    <row r="18" spans="1:28" x14ac:dyDescent="0.25">
      <c r="A18" s="3">
        <v>24123</v>
      </c>
      <c r="B18" s="25">
        <v>937</v>
      </c>
      <c r="C18" s="26">
        <v>45434</v>
      </c>
      <c r="D18" s="25" t="s">
        <v>53</v>
      </c>
      <c r="E18" s="25" t="s">
        <v>54</v>
      </c>
      <c r="F18" s="25" t="s">
        <v>57</v>
      </c>
      <c r="G18" s="27">
        <v>8.5</v>
      </c>
      <c r="H18" s="28">
        <v>0.375</v>
      </c>
      <c r="I18" s="25" t="s">
        <v>68</v>
      </c>
      <c r="J18" s="3" t="s">
        <v>55</v>
      </c>
      <c r="K18" s="25" t="s">
        <v>76</v>
      </c>
      <c r="L18" s="27"/>
      <c r="M18" s="3">
        <v>17.8</v>
      </c>
      <c r="N18" s="4">
        <v>97.3</v>
      </c>
      <c r="O18" s="43">
        <v>0.4</v>
      </c>
      <c r="P18" s="4">
        <v>308</v>
      </c>
      <c r="Q18" s="4">
        <v>60.2</v>
      </c>
      <c r="R18" s="4">
        <v>1.3620000000000001</v>
      </c>
      <c r="S18" s="4">
        <v>9.1340000000000003</v>
      </c>
      <c r="T18" s="4">
        <v>33.07</v>
      </c>
      <c r="U18" s="4">
        <v>8.5120000000000005</v>
      </c>
      <c r="V18" s="36">
        <v>16.2803</v>
      </c>
      <c r="W18" s="36">
        <v>19.797499999999999</v>
      </c>
      <c r="X18" s="4">
        <v>2.6666344513928366</v>
      </c>
      <c r="Y18" s="4">
        <v>0.58940796645349103</v>
      </c>
      <c r="Z18" s="4">
        <v>1.53</v>
      </c>
      <c r="AA18" s="6">
        <v>28.7</v>
      </c>
      <c r="AB18" s="6">
        <v>192</v>
      </c>
    </row>
    <row r="19" spans="1:28" x14ac:dyDescent="0.25">
      <c r="A19" s="45">
        <v>24289</v>
      </c>
      <c r="B19" s="25">
        <v>937</v>
      </c>
      <c r="C19" s="26">
        <v>45502</v>
      </c>
      <c r="D19" s="33" t="s">
        <v>105</v>
      </c>
      <c r="E19" s="25" t="s">
        <v>54</v>
      </c>
      <c r="F19" s="25" t="s">
        <v>57</v>
      </c>
      <c r="G19" s="25">
        <v>35</v>
      </c>
      <c r="H19" s="28">
        <v>0.51597222222222217</v>
      </c>
      <c r="I19" s="25" t="s">
        <v>100</v>
      </c>
      <c r="J19" s="3" t="s">
        <v>55</v>
      </c>
      <c r="K19" s="25" t="s">
        <v>58</v>
      </c>
      <c r="L19" s="25">
        <v>2.04</v>
      </c>
      <c r="M19" s="3">
        <v>18</v>
      </c>
      <c r="N19" s="4">
        <v>16.100000000000001</v>
      </c>
      <c r="O19" s="43">
        <v>0.4</v>
      </c>
      <c r="P19" s="4">
        <v>236</v>
      </c>
      <c r="Q19" s="39">
        <v>5.98</v>
      </c>
      <c r="R19" s="4">
        <v>1.3069999999999999</v>
      </c>
      <c r="S19" s="4">
        <v>8.4920000000000009</v>
      </c>
      <c r="T19" s="4">
        <v>30.3</v>
      </c>
      <c r="U19" s="4">
        <v>8.3620000000000001</v>
      </c>
      <c r="V19" s="36">
        <v>14.8232</v>
      </c>
      <c r="W19" s="36">
        <v>18.069500000000001</v>
      </c>
      <c r="X19" s="4">
        <v>2.62</v>
      </c>
      <c r="Y19" s="39">
        <v>0.26194913986862034</v>
      </c>
      <c r="Z19" s="4">
        <v>2</v>
      </c>
      <c r="AA19" s="4">
        <v>167</v>
      </c>
      <c r="AB19" s="4">
        <v>1750</v>
      </c>
    </row>
    <row r="20" spans="1:28" x14ac:dyDescent="0.25">
      <c r="A20" s="45">
        <v>24290</v>
      </c>
      <c r="B20" s="25">
        <v>937</v>
      </c>
      <c r="C20" s="26">
        <v>45502</v>
      </c>
      <c r="D20" s="33" t="s">
        <v>105</v>
      </c>
      <c r="E20" s="25" t="s">
        <v>54</v>
      </c>
      <c r="F20" s="25" t="s">
        <v>57</v>
      </c>
      <c r="G20" s="25">
        <v>35</v>
      </c>
      <c r="H20" s="28">
        <v>0.51597222222222217</v>
      </c>
      <c r="I20" s="25" t="s">
        <v>100</v>
      </c>
      <c r="J20" s="3" t="s">
        <v>55</v>
      </c>
      <c r="K20" s="25" t="s">
        <v>75</v>
      </c>
      <c r="L20" s="25">
        <v>21.35</v>
      </c>
      <c r="M20" s="3">
        <v>44.1</v>
      </c>
      <c r="N20" s="4">
        <v>149</v>
      </c>
      <c r="O20" s="43">
        <v>0.4</v>
      </c>
      <c r="P20" s="4">
        <v>401</v>
      </c>
      <c r="Q20" s="4">
        <v>16.8</v>
      </c>
      <c r="R20" s="4">
        <v>1.35</v>
      </c>
      <c r="S20" s="4">
        <v>9.1859999999999999</v>
      </c>
      <c r="T20" s="4">
        <v>31.34</v>
      </c>
      <c r="U20" s="4">
        <v>8.4719999999999995</v>
      </c>
      <c r="V20" s="36">
        <v>15.5854</v>
      </c>
      <c r="W20" s="36">
        <v>18.592500000000001</v>
      </c>
      <c r="X20" s="4">
        <v>2.5470000000000002</v>
      </c>
      <c r="Y20" s="39">
        <v>0.39279011028300065</v>
      </c>
      <c r="Z20" s="4">
        <v>2</v>
      </c>
      <c r="AA20" s="6">
        <v>157</v>
      </c>
      <c r="AB20" s="6">
        <v>1010</v>
      </c>
    </row>
    <row r="21" spans="1:28" x14ac:dyDescent="0.25">
      <c r="A21" s="3">
        <v>24291</v>
      </c>
      <c r="B21" s="25">
        <v>937</v>
      </c>
      <c r="C21" s="26">
        <v>45502</v>
      </c>
      <c r="D21" s="33" t="s">
        <v>105</v>
      </c>
      <c r="E21" s="25" t="s">
        <v>54</v>
      </c>
      <c r="F21" s="25" t="s">
        <v>57</v>
      </c>
      <c r="G21" s="25">
        <v>35</v>
      </c>
      <c r="H21" s="28">
        <v>0.51597222222222217</v>
      </c>
      <c r="I21" s="25" t="s">
        <v>100</v>
      </c>
      <c r="J21" s="3" t="s">
        <v>55</v>
      </c>
      <c r="K21" s="25" t="s">
        <v>38</v>
      </c>
      <c r="L21" s="25">
        <v>34.72</v>
      </c>
      <c r="M21" s="3">
        <v>16.5</v>
      </c>
      <c r="N21" s="4">
        <v>234</v>
      </c>
      <c r="O21" s="43">
        <v>0.4</v>
      </c>
      <c r="P21" s="4">
        <v>407</v>
      </c>
      <c r="Q21" s="43">
        <v>1.5</v>
      </c>
      <c r="R21" s="4">
        <v>1.3460000000000001</v>
      </c>
      <c r="S21" s="4">
        <v>9</v>
      </c>
      <c r="T21" s="4">
        <v>31.82</v>
      </c>
      <c r="U21" s="4">
        <v>8.4</v>
      </c>
      <c r="V21" s="36">
        <v>15.7562</v>
      </c>
      <c r="W21" s="36">
        <v>18.904299999999999</v>
      </c>
      <c r="X21" s="4">
        <v>2.4590000000000001</v>
      </c>
      <c r="Y21" s="4">
        <v>0.82219436889126907</v>
      </c>
      <c r="Z21" s="4">
        <v>0.57999999999999996</v>
      </c>
      <c r="AA21" s="6">
        <v>71.599999999999994</v>
      </c>
      <c r="AB21" s="6">
        <v>435</v>
      </c>
    </row>
    <row r="22" spans="1:28" x14ac:dyDescent="0.25">
      <c r="A22" s="3">
        <v>85</v>
      </c>
      <c r="B22" s="25">
        <v>937</v>
      </c>
      <c r="C22" s="26">
        <v>45550</v>
      </c>
      <c r="D22" s="25" t="s">
        <v>53</v>
      </c>
      <c r="E22" s="25" t="s">
        <v>54</v>
      </c>
      <c r="F22" s="25" t="s">
        <v>57</v>
      </c>
      <c r="G22" s="27">
        <v>7.9</v>
      </c>
      <c r="H22" s="28">
        <v>0.97361111111111109</v>
      </c>
      <c r="I22" s="25" t="s">
        <v>68</v>
      </c>
      <c r="J22" s="3" t="s">
        <v>55</v>
      </c>
      <c r="K22" s="25" t="s">
        <v>58</v>
      </c>
      <c r="L22" s="27">
        <v>5</v>
      </c>
      <c r="M22" s="40">
        <v>10.3</v>
      </c>
      <c r="N22" s="4">
        <v>12.5</v>
      </c>
      <c r="O22" s="43">
        <v>0.4</v>
      </c>
      <c r="P22" s="4">
        <v>275</v>
      </c>
      <c r="Q22" s="39">
        <v>10.8</v>
      </c>
      <c r="R22" s="4">
        <v>1.3080000000000001</v>
      </c>
      <c r="S22" s="4">
        <v>8.0619999999999994</v>
      </c>
      <c r="T22" s="4">
        <v>30.22</v>
      </c>
      <c r="U22" s="4">
        <v>8.4879999999999995</v>
      </c>
      <c r="V22" s="36">
        <v>16.3903</v>
      </c>
      <c r="W22" s="36">
        <v>19.875399999999999</v>
      </c>
      <c r="X22" s="4">
        <v>2.7280000000000002</v>
      </c>
      <c r="Y22" s="39">
        <v>0.50039667576221203</v>
      </c>
      <c r="Z22" s="4">
        <v>4.04</v>
      </c>
      <c r="AA22" s="4">
        <v>158</v>
      </c>
      <c r="AB22" s="4">
        <v>1310</v>
      </c>
    </row>
    <row r="23" spans="1:28" x14ac:dyDescent="0.25">
      <c r="A23" s="3">
        <v>87</v>
      </c>
      <c r="B23" s="25">
        <v>937</v>
      </c>
      <c r="C23" s="26">
        <v>45550</v>
      </c>
      <c r="D23" s="25" t="s">
        <v>53</v>
      </c>
      <c r="E23" s="25" t="s">
        <v>54</v>
      </c>
      <c r="F23" s="25" t="s">
        <v>57</v>
      </c>
      <c r="G23" s="27">
        <v>7.9</v>
      </c>
      <c r="H23" s="28">
        <v>0.97361111111111109</v>
      </c>
      <c r="I23" s="25" t="s">
        <v>68</v>
      </c>
      <c r="J23" s="3" t="s">
        <v>55</v>
      </c>
      <c r="K23" s="25" t="s">
        <v>38</v>
      </c>
      <c r="L23" s="27">
        <v>7.4</v>
      </c>
      <c r="M23" s="5">
        <v>17.600000000000001</v>
      </c>
      <c r="N23" s="4">
        <v>14.9</v>
      </c>
      <c r="O23" s="43">
        <v>0.4</v>
      </c>
      <c r="P23" s="4">
        <v>260</v>
      </c>
      <c r="Q23" s="39">
        <v>9.86</v>
      </c>
      <c r="R23" s="4">
        <v>1.2030000000000001</v>
      </c>
      <c r="S23" s="4">
        <v>8.7460000000000004</v>
      </c>
      <c r="T23" s="4">
        <v>30.12</v>
      </c>
      <c r="U23" s="4">
        <v>8.2859999999999996</v>
      </c>
      <c r="V23" s="36">
        <v>16.2879</v>
      </c>
      <c r="W23" s="36">
        <v>19.6693</v>
      </c>
      <c r="X23" s="4">
        <v>2.6789999999999998</v>
      </c>
      <c r="Y23" s="4">
        <v>0.51748439122188306</v>
      </c>
      <c r="Z23" s="4">
        <v>3.88</v>
      </c>
      <c r="AA23" s="4">
        <v>155</v>
      </c>
      <c r="AB23" s="4">
        <v>1340</v>
      </c>
    </row>
    <row r="24" spans="1:28" x14ac:dyDescent="0.25">
      <c r="A24" s="3">
        <v>24096</v>
      </c>
      <c r="B24" s="25">
        <v>951</v>
      </c>
      <c r="C24" s="26">
        <v>45433</v>
      </c>
      <c r="D24" s="25" t="s">
        <v>53</v>
      </c>
      <c r="E24" s="25" t="s">
        <v>54</v>
      </c>
      <c r="F24" s="25" t="s">
        <v>57</v>
      </c>
      <c r="G24" s="27">
        <v>19.899999999999999</v>
      </c>
      <c r="H24" s="28">
        <v>0.91666666666666663</v>
      </c>
      <c r="I24" s="25" t="s">
        <v>80</v>
      </c>
      <c r="J24" s="3" t="s">
        <v>55</v>
      </c>
      <c r="K24" s="25" t="s">
        <v>58</v>
      </c>
      <c r="L24" s="27">
        <v>5</v>
      </c>
      <c r="M24" s="38">
        <v>15.1</v>
      </c>
      <c r="N24" s="4">
        <v>21.9</v>
      </c>
      <c r="O24" s="39">
        <v>1.6</v>
      </c>
      <c r="P24" s="4">
        <v>287.13477991545483</v>
      </c>
      <c r="Q24" s="4">
        <v>16.399999999999999</v>
      </c>
      <c r="R24" s="4">
        <v>1.2509999999999999</v>
      </c>
      <c r="S24" s="4">
        <v>8.3260000000000005</v>
      </c>
      <c r="T24" s="4">
        <v>28.78</v>
      </c>
      <c r="U24" s="4">
        <v>8.1739999999999995</v>
      </c>
      <c r="V24" s="36">
        <v>14.408799999999999</v>
      </c>
      <c r="W24" s="36">
        <v>18.697600000000001</v>
      </c>
      <c r="X24" s="4">
        <v>2.8813871517907903</v>
      </c>
      <c r="Y24" s="39">
        <v>0.37811612049621224</v>
      </c>
      <c r="Z24" s="4">
        <v>0.84</v>
      </c>
      <c r="AA24" s="4">
        <v>211</v>
      </c>
      <c r="AB24" s="4">
        <v>656</v>
      </c>
    </row>
    <row r="25" spans="1:28" x14ac:dyDescent="0.25">
      <c r="A25" s="3">
        <v>24097</v>
      </c>
      <c r="B25" s="25">
        <v>951</v>
      </c>
      <c r="C25" s="26">
        <v>45433</v>
      </c>
      <c r="D25" s="25" t="s">
        <v>53</v>
      </c>
      <c r="E25" s="25" t="s">
        <v>54</v>
      </c>
      <c r="F25" s="25" t="s">
        <v>57</v>
      </c>
      <c r="G25" s="27">
        <v>19.899999999999999</v>
      </c>
      <c r="H25" s="28">
        <v>0.91666666666666663</v>
      </c>
      <c r="I25" s="25" t="s">
        <v>80</v>
      </c>
      <c r="J25" s="3" t="s">
        <v>55</v>
      </c>
      <c r="K25" s="25" t="s">
        <v>75</v>
      </c>
      <c r="L25" s="27">
        <v>8.1</v>
      </c>
      <c r="M25" s="38">
        <v>13.1</v>
      </c>
      <c r="N25" s="4">
        <v>11</v>
      </c>
      <c r="O25" s="43">
        <v>0.4</v>
      </c>
      <c r="P25" s="4">
        <v>215</v>
      </c>
      <c r="Q25" s="39">
        <v>11.9</v>
      </c>
      <c r="R25" s="4">
        <v>1.2889999999999999</v>
      </c>
      <c r="S25" s="4">
        <v>8.1539999999999999</v>
      </c>
      <c r="T25" s="4">
        <v>30</v>
      </c>
      <c r="U25" s="4">
        <v>8.3040000000000003</v>
      </c>
      <c r="V25" s="36">
        <v>14.926500000000001</v>
      </c>
      <c r="W25" s="36">
        <v>19.23</v>
      </c>
      <c r="X25" s="4">
        <v>2.7688231949971573</v>
      </c>
      <c r="Y25" s="39">
        <v>0.32720242267518118</v>
      </c>
      <c r="Z25" s="4">
        <v>1.1499999999999999</v>
      </c>
      <c r="AA25" s="4">
        <v>129</v>
      </c>
      <c r="AB25" s="4">
        <v>910</v>
      </c>
    </row>
    <row r="26" spans="1:28" x14ac:dyDescent="0.25">
      <c r="A26" s="3">
        <v>24098</v>
      </c>
      <c r="B26" s="25">
        <v>951</v>
      </c>
      <c r="C26" s="26">
        <v>45433</v>
      </c>
      <c r="D26" s="25" t="s">
        <v>53</v>
      </c>
      <c r="E26" s="25" t="s">
        <v>54</v>
      </c>
      <c r="F26" s="25" t="s">
        <v>57</v>
      </c>
      <c r="G26" s="27">
        <v>19.899999999999999</v>
      </c>
      <c r="H26" s="28">
        <v>0.91666666666666663</v>
      </c>
      <c r="I26" s="25" t="s">
        <v>80</v>
      </c>
      <c r="J26" s="3" t="s">
        <v>55</v>
      </c>
      <c r="K26" s="25" t="s">
        <v>38</v>
      </c>
      <c r="L26" s="27">
        <v>18.2</v>
      </c>
      <c r="M26" s="3">
        <v>23.7</v>
      </c>
      <c r="N26" s="4">
        <v>36.200000000000003</v>
      </c>
      <c r="O26" s="39">
        <v>0.94399999999999995</v>
      </c>
      <c r="P26" s="4">
        <v>250</v>
      </c>
      <c r="Q26" s="4">
        <v>17.3</v>
      </c>
      <c r="R26" s="4">
        <v>1.254</v>
      </c>
      <c r="S26" s="4">
        <v>7.976</v>
      </c>
      <c r="T26" s="4">
        <v>29.52</v>
      </c>
      <c r="U26" s="4">
        <v>8.33</v>
      </c>
      <c r="V26" s="36">
        <v>14.543200000000001</v>
      </c>
      <c r="W26" s="36">
        <v>18.8004</v>
      </c>
      <c r="X26" s="4">
        <v>2.6869584991472424</v>
      </c>
      <c r="Y26" s="4">
        <v>0.86349337305670815</v>
      </c>
      <c r="Z26" s="4">
        <v>5.2</v>
      </c>
      <c r="AA26" s="4">
        <v>115</v>
      </c>
      <c r="AB26" s="4">
        <v>1020</v>
      </c>
    </row>
    <row r="27" spans="1:28" x14ac:dyDescent="0.25">
      <c r="A27" s="3">
        <v>24261</v>
      </c>
      <c r="B27" s="25">
        <v>951</v>
      </c>
      <c r="C27" s="26">
        <v>45501</v>
      </c>
      <c r="D27" s="33" t="s">
        <v>105</v>
      </c>
      <c r="E27" s="25" t="s">
        <v>54</v>
      </c>
      <c r="F27" s="25" t="s">
        <v>57</v>
      </c>
      <c r="G27" s="25">
        <v>19</v>
      </c>
      <c r="H27" s="28">
        <v>0.70763888888888893</v>
      </c>
      <c r="I27" s="25" t="s">
        <v>100</v>
      </c>
      <c r="J27" s="3" t="s">
        <v>95</v>
      </c>
      <c r="K27" s="25" t="s">
        <v>58</v>
      </c>
      <c r="L27" s="25">
        <v>2.0699999999999998</v>
      </c>
      <c r="M27" s="38">
        <v>12.2</v>
      </c>
      <c r="N27" s="39">
        <v>4.49</v>
      </c>
      <c r="O27" s="43">
        <v>0.4</v>
      </c>
      <c r="P27" s="4">
        <v>423</v>
      </c>
      <c r="Q27" s="43">
        <v>1.5</v>
      </c>
      <c r="R27" s="4">
        <v>1.3859999999999999</v>
      </c>
      <c r="S27" s="4">
        <v>8.3000000000000007</v>
      </c>
      <c r="T27" s="4">
        <v>27.84</v>
      </c>
      <c r="U27" s="4">
        <v>8.2720000000000002</v>
      </c>
      <c r="V27" s="36">
        <v>14.511699999999999</v>
      </c>
      <c r="W27" s="36">
        <v>18.350200000000001</v>
      </c>
      <c r="X27" s="4">
        <v>3.1579999999999999</v>
      </c>
      <c r="Y27" s="39">
        <v>0.25843663059575106</v>
      </c>
      <c r="Z27" s="4">
        <v>1.92</v>
      </c>
      <c r="AA27" s="6">
        <v>279</v>
      </c>
      <c r="AB27" s="6">
        <v>2110</v>
      </c>
    </row>
    <row r="28" spans="1:28" x14ac:dyDescent="0.25">
      <c r="A28" s="45">
        <v>24262</v>
      </c>
      <c r="B28" s="25">
        <v>951</v>
      </c>
      <c r="C28" s="26">
        <v>45501</v>
      </c>
      <c r="D28" s="33" t="s">
        <v>105</v>
      </c>
      <c r="E28" s="25" t="s">
        <v>54</v>
      </c>
      <c r="F28" s="25" t="s">
        <v>57</v>
      </c>
      <c r="G28" s="25">
        <v>19</v>
      </c>
      <c r="H28" s="28">
        <v>0.70763888888888893</v>
      </c>
      <c r="I28" s="25" t="s">
        <v>100</v>
      </c>
      <c r="J28" s="3" t="s">
        <v>95</v>
      </c>
      <c r="K28" s="25" t="s">
        <v>75</v>
      </c>
      <c r="L28" s="25">
        <v>16.8</v>
      </c>
      <c r="M28" s="3">
        <v>40.799999999999997</v>
      </c>
      <c r="N28" s="4">
        <v>147</v>
      </c>
      <c r="O28" s="43">
        <v>0.4</v>
      </c>
      <c r="P28" s="4">
        <v>409</v>
      </c>
      <c r="Q28" s="39">
        <v>9.3800000000000008</v>
      </c>
      <c r="R28" s="4">
        <v>1.3340000000000001</v>
      </c>
      <c r="S28" s="4">
        <v>8.4939999999999998</v>
      </c>
      <c r="T28" s="4">
        <v>31.92</v>
      </c>
      <c r="U28" s="4">
        <v>8.5719999999999992</v>
      </c>
      <c r="V28" s="36">
        <v>14.6022</v>
      </c>
      <c r="W28" s="36">
        <v>18.044699999999999</v>
      </c>
      <c r="X28" s="4">
        <v>2.379</v>
      </c>
      <c r="Y28" s="4">
        <v>3.4785295064986554</v>
      </c>
      <c r="Z28" s="4">
        <v>2.52</v>
      </c>
      <c r="AA28" s="4">
        <v>256</v>
      </c>
      <c r="AB28" s="4">
        <v>1490</v>
      </c>
    </row>
    <row r="29" spans="1:28" x14ac:dyDescent="0.25">
      <c r="A29" s="3">
        <v>24263</v>
      </c>
      <c r="B29" s="25">
        <v>951</v>
      </c>
      <c r="C29" s="26">
        <v>45501</v>
      </c>
      <c r="D29" s="33" t="s">
        <v>105</v>
      </c>
      <c r="E29" s="25" t="s">
        <v>54</v>
      </c>
      <c r="F29" s="25" t="s">
        <v>57</v>
      </c>
      <c r="G29" s="25">
        <v>19</v>
      </c>
      <c r="H29" s="28">
        <v>0.70763888888888893</v>
      </c>
      <c r="I29" s="25" t="s">
        <v>100</v>
      </c>
      <c r="J29" s="3" t="s">
        <v>95</v>
      </c>
      <c r="K29" s="25" t="s">
        <v>38</v>
      </c>
      <c r="L29" s="25">
        <v>18.37</v>
      </c>
      <c r="M29" s="3">
        <v>37.9</v>
      </c>
      <c r="N29" s="4">
        <v>141</v>
      </c>
      <c r="O29" s="39">
        <v>1.17</v>
      </c>
      <c r="P29" s="4">
        <v>386</v>
      </c>
      <c r="Q29" s="39">
        <v>9.7799999999999994</v>
      </c>
      <c r="R29" s="4">
        <v>1.3540000000000001</v>
      </c>
      <c r="S29" s="4">
        <v>8.4580000000000002</v>
      </c>
      <c r="T29" s="4">
        <v>30.14</v>
      </c>
      <c r="U29" s="4">
        <v>8.43</v>
      </c>
      <c r="V29" s="36">
        <v>14.888500000000001</v>
      </c>
      <c r="W29" s="36">
        <v>18.511800000000001</v>
      </c>
      <c r="X29" s="4">
        <v>2.4020000000000001</v>
      </c>
      <c r="Y29" s="4">
        <v>3.5751235115025608</v>
      </c>
      <c r="Z29" s="4">
        <v>2.2799999999999998</v>
      </c>
      <c r="AA29" s="4">
        <v>266</v>
      </c>
      <c r="AB29" s="4">
        <v>1430</v>
      </c>
    </row>
    <row r="30" spans="1:28" x14ac:dyDescent="0.25">
      <c r="A30" s="3">
        <v>55</v>
      </c>
      <c r="B30" s="25">
        <v>951</v>
      </c>
      <c r="C30" s="26">
        <v>45549</v>
      </c>
      <c r="D30" s="25" t="s">
        <v>53</v>
      </c>
      <c r="E30" s="25" t="s">
        <v>54</v>
      </c>
      <c r="F30" s="25" t="s">
        <v>57</v>
      </c>
      <c r="G30" s="27">
        <v>19.3</v>
      </c>
      <c r="H30" s="28">
        <v>0.90763888888888899</v>
      </c>
      <c r="I30" s="25" t="s">
        <v>68</v>
      </c>
      <c r="J30" s="3" t="s">
        <v>55</v>
      </c>
      <c r="K30" s="25" t="s">
        <v>58</v>
      </c>
      <c r="L30" s="27">
        <v>5</v>
      </c>
      <c r="M30" s="3">
        <v>25.7</v>
      </c>
      <c r="N30" s="39">
        <v>3.29</v>
      </c>
      <c r="O30" s="43">
        <v>0.4</v>
      </c>
      <c r="P30" s="4">
        <v>280</v>
      </c>
      <c r="Q30" s="4">
        <v>17.5</v>
      </c>
      <c r="R30" s="4">
        <v>1.2509999999999999</v>
      </c>
      <c r="S30" s="4">
        <v>8.2880000000000003</v>
      </c>
      <c r="T30" s="4">
        <v>29.18</v>
      </c>
      <c r="U30" s="4">
        <v>8.34</v>
      </c>
      <c r="V30" s="36">
        <v>16.0961</v>
      </c>
      <c r="W30" s="36">
        <v>20.263999999999999</v>
      </c>
      <c r="X30" s="4">
        <v>2.48</v>
      </c>
      <c r="Y30" s="4">
        <v>1.4854930475986281</v>
      </c>
      <c r="Z30" s="4">
        <v>5.88</v>
      </c>
      <c r="AA30" s="4">
        <v>255</v>
      </c>
      <c r="AB30" s="4">
        <v>1600</v>
      </c>
    </row>
    <row r="31" spans="1:28" x14ac:dyDescent="0.25">
      <c r="A31" s="3">
        <v>56</v>
      </c>
      <c r="B31" s="25">
        <v>951</v>
      </c>
      <c r="C31" s="26">
        <v>45549</v>
      </c>
      <c r="D31" s="25" t="s">
        <v>53</v>
      </c>
      <c r="E31" s="25" t="s">
        <v>54</v>
      </c>
      <c r="F31" s="25" t="s">
        <v>57</v>
      </c>
      <c r="G31" s="27">
        <v>19.3</v>
      </c>
      <c r="H31" s="28">
        <v>0.90763888888888899</v>
      </c>
      <c r="I31" s="25" t="s">
        <v>68</v>
      </c>
      <c r="J31" s="3" t="s">
        <v>55</v>
      </c>
      <c r="K31" s="25" t="s">
        <v>75</v>
      </c>
      <c r="L31" s="27">
        <v>10</v>
      </c>
      <c r="M31" s="3">
        <v>143</v>
      </c>
      <c r="N31" s="39">
        <v>8.1300000000000008</v>
      </c>
      <c r="O31" s="4">
        <v>6.96</v>
      </c>
      <c r="P31" s="4">
        <v>391</v>
      </c>
      <c r="Q31" s="4">
        <v>49.8</v>
      </c>
      <c r="R31" s="4">
        <v>1.2769999999999999</v>
      </c>
      <c r="S31" s="4">
        <v>8.3640000000000008</v>
      </c>
      <c r="T31" s="4">
        <v>30.64</v>
      </c>
      <c r="U31" s="4">
        <v>8.3640000000000008</v>
      </c>
      <c r="V31" s="36">
        <v>15.4696</v>
      </c>
      <c r="W31" s="36">
        <v>18.436399999999999</v>
      </c>
      <c r="X31" s="4">
        <v>2.8050000000000002</v>
      </c>
      <c r="Y31" s="4">
        <v>3.0994421976402564</v>
      </c>
      <c r="Z31" s="4">
        <v>5.12</v>
      </c>
      <c r="AA31" s="4">
        <v>382</v>
      </c>
      <c r="AB31" s="4">
        <v>1330</v>
      </c>
    </row>
    <row r="32" spans="1:28" x14ac:dyDescent="0.25">
      <c r="A32" s="3">
        <v>57</v>
      </c>
      <c r="B32" s="25">
        <v>951</v>
      </c>
      <c r="C32" s="26">
        <v>45549</v>
      </c>
      <c r="D32" s="25" t="s">
        <v>53</v>
      </c>
      <c r="E32" s="25" t="s">
        <v>54</v>
      </c>
      <c r="F32" s="25" t="s">
        <v>57</v>
      </c>
      <c r="G32" s="27">
        <v>19.3</v>
      </c>
      <c r="H32" s="28">
        <v>0.90763888888888899</v>
      </c>
      <c r="I32" s="25" t="s">
        <v>68</v>
      </c>
      <c r="J32" s="3" t="s">
        <v>55</v>
      </c>
      <c r="K32" s="25" t="s">
        <v>38</v>
      </c>
      <c r="L32" s="27">
        <v>18.899999999999999</v>
      </c>
      <c r="M32" s="9">
        <v>334</v>
      </c>
      <c r="N32" s="39">
        <v>6.66</v>
      </c>
      <c r="O32" s="4">
        <v>22.7</v>
      </c>
      <c r="P32" s="4">
        <v>557</v>
      </c>
      <c r="Q32" s="4">
        <v>142</v>
      </c>
      <c r="R32" s="4">
        <v>1.448</v>
      </c>
      <c r="S32" s="4">
        <v>8.2319999999999993</v>
      </c>
      <c r="T32" s="4">
        <v>32.44</v>
      </c>
      <c r="U32" s="4">
        <v>8.6660000000000004</v>
      </c>
      <c r="V32" s="36">
        <v>15.1585</v>
      </c>
      <c r="W32" s="36">
        <v>16.414100000000001</v>
      </c>
      <c r="X32" s="4">
        <v>2.831</v>
      </c>
      <c r="Y32" s="4">
        <v>5.6698056588176655</v>
      </c>
      <c r="Z32" s="4">
        <v>4.08</v>
      </c>
      <c r="AA32" s="6">
        <v>638</v>
      </c>
      <c r="AB32" s="6">
        <v>1610</v>
      </c>
    </row>
    <row r="33" spans="1:28" x14ac:dyDescent="0.25">
      <c r="A33" s="3">
        <v>24101</v>
      </c>
      <c r="B33" s="25">
        <v>958</v>
      </c>
      <c r="C33" s="26">
        <v>45432</v>
      </c>
      <c r="D33" s="25" t="s">
        <v>53</v>
      </c>
      <c r="E33" s="25" t="s">
        <v>54</v>
      </c>
      <c r="F33" s="25" t="s">
        <v>57</v>
      </c>
      <c r="G33" s="27">
        <v>11.6</v>
      </c>
      <c r="H33" s="28">
        <v>0.42638888888888887</v>
      </c>
      <c r="I33" s="25" t="s">
        <v>68</v>
      </c>
      <c r="J33" s="3" t="s">
        <v>55</v>
      </c>
      <c r="K33" s="25" t="s">
        <v>58</v>
      </c>
      <c r="L33" s="27">
        <v>5.5</v>
      </c>
      <c r="M33" s="3">
        <v>38</v>
      </c>
      <c r="N33" s="4">
        <v>485</v>
      </c>
      <c r="O33" s="39">
        <v>1.03</v>
      </c>
      <c r="P33" s="4">
        <v>681.72150097582085</v>
      </c>
      <c r="Q33" s="39">
        <v>10.4</v>
      </c>
      <c r="R33" s="4">
        <v>1.393</v>
      </c>
      <c r="S33" s="4">
        <v>9.4220000000000006</v>
      </c>
      <c r="T33" s="4">
        <v>30.2</v>
      </c>
      <c r="U33" s="4">
        <v>8.5519999999999996</v>
      </c>
      <c r="V33" s="36">
        <v>16.684699999999999</v>
      </c>
      <c r="W33" s="36">
        <v>19.749099999999999</v>
      </c>
      <c r="X33" s="4">
        <v>2.8403126776577601</v>
      </c>
      <c r="Y33" s="4">
        <v>0.68020406090099639</v>
      </c>
      <c r="Z33" s="4">
        <v>6.56</v>
      </c>
      <c r="AA33" s="4">
        <v>174</v>
      </c>
      <c r="AB33" s="4">
        <v>1270</v>
      </c>
    </row>
    <row r="34" spans="1:28" x14ac:dyDescent="0.25">
      <c r="A34" s="3">
        <v>24102</v>
      </c>
      <c r="B34" s="25">
        <v>958</v>
      </c>
      <c r="C34" s="26">
        <v>45432</v>
      </c>
      <c r="D34" s="25" t="s">
        <v>53</v>
      </c>
      <c r="E34" s="25" t="s">
        <v>54</v>
      </c>
      <c r="F34" s="25" t="s">
        <v>57</v>
      </c>
      <c r="G34" s="27">
        <v>11.6</v>
      </c>
      <c r="H34" s="28">
        <v>0.42638888888888887</v>
      </c>
      <c r="I34" s="25" t="s">
        <v>68</v>
      </c>
      <c r="J34" s="3" t="s">
        <v>55</v>
      </c>
      <c r="K34" s="25" t="s">
        <v>38</v>
      </c>
      <c r="L34" s="27">
        <v>10.6</v>
      </c>
      <c r="M34" s="3">
        <v>33.299999999999997</v>
      </c>
      <c r="N34" s="4">
        <v>431</v>
      </c>
      <c r="O34" s="39">
        <v>1.25</v>
      </c>
      <c r="P34" s="4">
        <v>662</v>
      </c>
      <c r="Q34" s="39">
        <v>11.8</v>
      </c>
      <c r="R34" s="4">
        <v>1.3959999999999999</v>
      </c>
      <c r="S34" s="4">
        <v>9.6980000000000004</v>
      </c>
      <c r="T34" s="4">
        <v>30.48</v>
      </c>
      <c r="U34" s="4">
        <v>8.5980000000000008</v>
      </c>
      <c r="V34" s="36">
        <v>17.064800000000002</v>
      </c>
      <c r="W34" s="36">
        <v>19.780200000000001</v>
      </c>
      <c r="X34" s="4">
        <v>2.8828084138715178</v>
      </c>
      <c r="Y34" s="4">
        <v>0.50115755689703723</v>
      </c>
      <c r="Z34" s="4">
        <v>4.04</v>
      </c>
      <c r="AA34" s="4">
        <v>171</v>
      </c>
      <c r="AB34" s="4">
        <v>1050</v>
      </c>
    </row>
    <row r="35" spans="1:28" x14ac:dyDescent="0.25">
      <c r="A35" s="3">
        <v>24245</v>
      </c>
      <c r="B35" s="25">
        <v>958</v>
      </c>
      <c r="C35" s="26">
        <v>45497</v>
      </c>
      <c r="D35" s="33" t="s">
        <v>105</v>
      </c>
      <c r="E35" s="25" t="s">
        <v>54</v>
      </c>
      <c r="F35" s="25" t="s">
        <v>57</v>
      </c>
      <c r="G35" s="25">
        <v>10.7</v>
      </c>
      <c r="H35" s="28">
        <v>0.3125</v>
      </c>
      <c r="I35" s="25" t="s">
        <v>56</v>
      </c>
      <c r="J35" s="3" t="s">
        <v>55</v>
      </c>
      <c r="K35" s="25" t="s">
        <v>58</v>
      </c>
      <c r="L35" s="25">
        <v>8</v>
      </c>
      <c r="M35" s="38">
        <v>8.93</v>
      </c>
      <c r="N35" s="4">
        <v>178</v>
      </c>
      <c r="O35" s="39">
        <v>0.84599999999999997</v>
      </c>
      <c r="P35" s="4">
        <v>458</v>
      </c>
      <c r="Q35" s="39">
        <v>12.1</v>
      </c>
      <c r="R35" s="4">
        <v>1.4490000000000001</v>
      </c>
      <c r="S35" s="4">
        <v>10.14</v>
      </c>
      <c r="T35" s="4">
        <v>29.86</v>
      </c>
      <c r="U35" s="4">
        <v>8.4860000000000007</v>
      </c>
      <c r="V35" s="36">
        <v>17.168500000000002</v>
      </c>
      <c r="W35" s="36">
        <v>19.118200000000002</v>
      </c>
      <c r="X35" s="4">
        <v>2.8010000000000002</v>
      </c>
      <c r="Y35" s="4">
        <v>0.77126298443466468</v>
      </c>
      <c r="Z35" s="4">
        <v>8.290909090909091</v>
      </c>
      <c r="AA35" s="6">
        <v>287</v>
      </c>
      <c r="AB35" s="6">
        <v>2610</v>
      </c>
    </row>
    <row r="36" spans="1:28" x14ac:dyDescent="0.25">
      <c r="A36" s="3">
        <v>1</v>
      </c>
      <c r="B36" s="25">
        <v>958</v>
      </c>
      <c r="C36" s="26">
        <v>45548</v>
      </c>
      <c r="D36" s="25" t="s">
        <v>53</v>
      </c>
      <c r="E36" s="25" t="s">
        <v>54</v>
      </c>
      <c r="F36" s="25" t="s">
        <v>57</v>
      </c>
      <c r="G36" s="27">
        <v>11.6</v>
      </c>
      <c r="H36" s="28">
        <v>0.44444444444444442</v>
      </c>
      <c r="I36" s="25" t="s">
        <v>68</v>
      </c>
      <c r="J36" s="3" t="s">
        <v>55</v>
      </c>
      <c r="K36" s="25" t="s">
        <v>58</v>
      </c>
      <c r="L36" s="27">
        <v>5</v>
      </c>
      <c r="M36" s="3">
        <v>21.2</v>
      </c>
      <c r="N36" s="4">
        <v>105</v>
      </c>
      <c r="O36" s="43">
        <v>0.4</v>
      </c>
      <c r="P36" s="4">
        <v>412</v>
      </c>
      <c r="Q36" s="4">
        <v>16</v>
      </c>
      <c r="R36" s="4">
        <v>1.5509999999999999</v>
      </c>
      <c r="S36" s="4">
        <v>11.667999999999999</v>
      </c>
      <c r="T36" s="4">
        <v>31.12</v>
      </c>
      <c r="U36" s="4">
        <v>8.6639999999999997</v>
      </c>
      <c r="V36" s="36">
        <v>19.848299999999998</v>
      </c>
      <c r="W36" s="36">
        <v>20.366</v>
      </c>
      <c r="X36" s="4">
        <v>2.6749999999999998</v>
      </c>
      <c r="Y36" s="4">
        <v>1.0499829594921568</v>
      </c>
      <c r="Z36" s="4">
        <v>7.2</v>
      </c>
      <c r="AA36" s="4">
        <v>483</v>
      </c>
      <c r="AB36" s="4">
        <v>2200</v>
      </c>
    </row>
    <row r="37" spans="1:28" x14ac:dyDescent="0.25">
      <c r="A37" s="3">
        <v>3</v>
      </c>
      <c r="B37" s="25">
        <v>958</v>
      </c>
      <c r="C37" s="26">
        <v>45548</v>
      </c>
      <c r="D37" s="25" t="s">
        <v>53</v>
      </c>
      <c r="E37" s="25" t="s">
        <v>54</v>
      </c>
      <c r="F37" s="25" t="s">
        <v>57</v>
      </c>
      <c r="G37" s="27">
        <v>11.6</v>
      </c>
      <c r="H37" s="28">
        <v>0.44444444444444442</v>
      </c>
      <c r="I37" s="25" t="s">
        <v>68</v>
      </c>
      <c r="J37" s="3" t="s">
        <v>55</v>
      </c>
      <c r="K37" s="25" t="s">
        <v>38</v>
      </c>
      <c r="L37" s="27">
        <v>10.6</v>
      </c>
      <c r="M37" s="3">
        <v>29.4</v>
      </c>
      <c r="N37" s="4">
        <v>118</v>
      </c>
      <c r="O37" s="39">
        <v>0.97699999999999998</v>
      </c>
      <c r="P37" s="4">
        <v>460</v>
      </c>
      <c r="Q37" s="4">
        <v>20.7</v>
      </c>
      <c r="R37" s="4">
        <v>1.5609999999999999</v>
      </c>
      <c r="S37" s="4">
        <v>11.914</v>
      </c>
      <c r="T37" s="4">
        <v>31.12</v>
      </c>
      <c r="U37" s="4">
        <v>8.6760000000000002</v>
      </c>
      <c r="V37" s="36">
        <v>20.752600000000001</v>
      </c>
      <c r="W37" s="36">
        <v>21.107299999999999</v>
      </c>
      <c r="X37" s="4">
        <v>3.7210000000000001</v>
      </c>
      <c r="Y37" s="4">
        <v>1.0446404131527367</v>
      </c>
      <c r="Z37" s="4">
        <v>4</v>
      </c>
      <c r="AA37" s="4">
        <v>438</v>
      </c>
      <c r="AB37" s="4">
        <v>2230</v>
      </c>
    </row>
    <row r="38" spans="1:28" x14ac:dyDescent="0.25">
      <c r="A38" s="3">
        <v>24089</v>
      </c>
      <c r="B38" s="25">
        <v>959</v>
      </c>
      <c r="C38" s="26">
        <v>45433</v>
      </c>
      <c r="D38" s="25" t="s">
        <v>53</v>
      </c>
      <c r="E38" s="25" t="s">
        <v>54</v>
      </c>
      <c r="F38" s="25" t="s">
        <v>57</v>
      </c>
      <c r="G38" s="27">
        <v>12.3</v>
      </c>
      <c r="H38" s="28">
        <v>0.27569444444444446</v>
      </c>
      <c r="I38" s="25" t="s">
        <v>68</v>
      </c>
      <c r="J38" s="3" t="s">
        <v>55</v>
      </c>
      <c r="K38" s="25" t="s">
        <v>75</v>
      </c>
      <c r="L38" s="27">
        <v>6.2</v>
      </c>
      <c r="M38" s="38">
        <v>13.1</v>
      </c>
      <c r="N38" s="4">
        <v>79.3</v>
      </c>
      <c r="O38" s="39">
        <v>1.06</v>
      </c>
      <c r="P38" s="4">
        <v>264.02091340982668</v>
      </c>
      <c r="Q38" s="39">
        <v>6.04</v>
      </c>
      <c r="R38" s="4">
        <v>1.2170000000000001</v>
      </c>
      <c r="S38" s="4">
        <v>7.9240000000000004</v>
      </c>
      <c r="T38" s="4">
        <v>29.24</v>
      </c>
      <c r="U38" s="4">
        <v>8.2439999999999998</v>
      </c>
      <c r="V38" s="36">
        <v>14.089700000000001</v>
      </c>
      <c r="W38" s="36">
        <v>18.7532</v>
      </c>
      <c r="X38" s="4">
        <v>2.515412166003411</v>
      </c>
      <c r="Y38" s="4">
        <v>0.63268460960136752</v>
      </c>
      <c r="Z38" s="4">
        <v>1.21</v>
      </c>
      <c r="AA38" s="4">
        <v>108</v>
      </c>
      <c r="AB38" s="4">
        <v>567</v>
      </c>
    </row>
    <row r="39" spans="1:28" x14ac:dyDescent="0.25">
      <c r="A39" s="3">
        <v>24090</v>
      </c>
      <c r="B39" s="25">
        <v>959</v>
      </c>
      <c r="C39" s="26">
        <v>45433</v>
      </c>
      <c r="D39" s="25" t="s">
        <v>53</v>
      </c>
      <c r="E39" s="25" t="s">
        <v>54</v>
      </c>
      <c r="F39" s="25" t="s">
        <v>57</v>
      </c>
      <c r="G39" s="27">
        <v>12.3</v>
      </c>
      <c r="H39" s="28">
        <v>0.27569444444444446</v>
      </c>
      <c r="I39" s="25" t="s">
        <v>68</v>
      </c>
      <c r="J39" s="3" t="s">
        <v>55</v>
      </c>
      <c r="K39" s="25" t="s">
        <v>38</v>
      </c>
      <c r="L39" s="27">
        <v>11.4</v>
      </c>
      <c r="M39" s="3">
        <v>28.4</v>
      </c>
      <c r="N39" s="4">
        <v>98.8</v>
      </c>
      <c r="O39" s="39">
        <v>1.1299999999999999</v>
      </c>
      <c r="P39" s="4">
        <v>317.6781035121777</v>
      </c>
      <c r="Q39" s="39">
        <v>6.05</v>
      </c>
      <c r="R39" s="4">
        <v>1.246</v>
      </c>
      <c r="S39" s="4">
        <v>8.1460000000000008</v>
      </c>
      <c r="T39" s="4">
        <v>29.68</v>
      </c>
      <c r="U39" s="4">
        <v>8.4179999999999993</v>
      </c>
      <c r="V39" s="36">
        <v>14.329000000000001</v>
      </c>
      <c r="W39" s="36">
        <v>18.823399999999999</v>
      </c>
      <c r="X39" s="4">
        <v>2.5645878339965886</v>
      </c>
      <c r="Y39" s="4">
        <v>1.0416913154303169</v>
      </c>
      <c r="Z39" s="4">
        <v>1.26</v>
      </c>
      <c r="AA39" s="4">
        <v>139</v>
      </c>
      <c r="AB39" s="4">
        <v>829</v>
      </c>
    </row>
    <row r="40" spans="1:28" x14ac:dyDescent="0.25">
      <c r="A40" s="3">
        <v>24091</v>
      </c>
      <c r="B40" s="25">
        <v>959</v>
      </c>
      <c r="C40" s="26">
        <v>45433</v>
      </c>
      <c r="D40" s="25" t="s">
        <v>53</v>
      </c>
      <c r="E40" s="25" t="s">
        <v>54</v>
      </c>
      <c r="F40" s="25" t="s">
        <v>57</v>
      </c>
      <c r="G40" s="27">
        <v>12.3</v>
      </c>
      <c r="H40" s="28">
        <v>0.27569444444444446</v>
      </c>
      <c r="I40" s="25" t="s">
        <v>68</v>
      </c>
      <c r="J40" s="3" t="s">
        <v>55</v>
      </c>
      <c r="K40" s="25" t="s">
        <v>76</v>
      </c>
      <c r="L40" s="27">
        <v>6.2</v>
      </c>
      <c r="M40" s="3">
        <v>16.8</v>
      </c>
      <c r="N40" s="4">
        <v>78.5</v>
      </c>
      <c r="O40" s="39">
        <v>0.874</v>
      </c>
      <c r="P40" s="4">
        <v>293</v>
      </c>
      <c r="Q40" s="39">
        <v>10.199999999999999</v>
      </c>
      <c r="R40" s="4">
        <v>1.302</v>
      </c>
      <c r="S40" s="4">
        <v>8.048</v>
      </c>
      <c r="T40" s="4">
        <v>26.46</v>
      </c>
      <c r="U40" s="4">
        <v>8.0879999999999992</v>
      </c>
      <c r="V40" s="36">
        <v>14.112</v>
      </c>
      <c r="W40" s="36">
        <v>18.809000000000001</v>
      </c>
      <c r="X40" s="4">
        <v>2.6131949971574757</v>
      </c>
      <c r="Y40" s="4">
        <v>0.6233504316675117</v>
      </c>
      <c r="Z40" s="4">
        <v>1.1100000000000001</v>
      </c>
      <c r="AA40" s="4">
        <v>125</v>
      </c>
      <c r="AB40" s="4">
        <v>570</v>
      </c>
    </row>
    <row r="41" spans="1:28" x14ac:dyDescent="0.25">
      <c r="A41" s="3">
        <v>24225</v>
      </c>
      <c r="B41" s="25">
        <v>959</v>
      </c>
      <c r="C41" s="26">
        <v>45499</v>
      </c>
      <c r="D41" s="33" t="s">
        <v>105</v>
      </c>
      <c r="E41" s="25" t="s">
        <v>54</v>
      </c>
      <c r="F41" s="25" t="s">
        <v>57</v>
      </c>
      <c r="G41" s="25">
        <v>9.8000000000000007</v>
      </c>
      <c r="H41" s="28">
        <v>0.6694444444444444</v>
      </c>
      <c r="I41" s="25" t="s">
        <v>56</v>
      </c>
      <c r="J41" s="3" t="s">
        <v>55</v>
      </c>
      <c r="K41" s="25" t="s">
        <v>58</v>
      </c>
      <c r="L41" s="25">
        <v>2.09</v>
      </c>
      <c r="M41" s="3">
        <v>16.2</v>
      </c>
      <c r="N41" s="4">
        <v>130</v>
      </c>
      <c r="O41" s="39">
        <v>1.32</v>
      </c>
      <c r="P41" s="4">
        <v>401</v>
      </c>
      <c r="Q41" s="39">
        <v>9.99</v>
      </c>
      <c r="R41" s="4">
        <v>1.2929999999999999</v>
      </c>
      <c r="S41" s="4">
        <v>8.0139999999999993</v>
      </c>
      <c r="T41" s="4">
        <v>28.92</v>
      </c>
      <c r="U41" s="4">
        <v>8.4779999999999998</v>
      </c>
      <c r="V41" s="36">
        <v>13.8071</v>
      </c>
      <c r="W41" s="36">
        <v>17.265499999999999</v>
      </c>
      <c r="X41" s="4">
        <v>2.5880000000000001</v>
      </c>
      <c r="Y41" s="4">
        <v>0.5833437383361586</v>
      </c>
      <c r="Z41" s="4">
        <v>4.68</v>
      </c>
      <c r="AA41" s="4">
        <v>352</v>
      </c>
      <c r="AB41" s="4">
        <v>3370</v>
      </c>
    </row>
    <row r="42" spans="1:28" x14ac:dyDescent="0.25">
      <c r="A42" s="3">
        <v>24227</v>
      </c>
      <c r="B42" s="25">
        <v>959</v>
      </c>
      <c r="C42" s="26">
        <v>45499</v>
      </c>
      <c r="D42" s="33" t="s">
        <v>105</v>
      </c>
      <c r="E42" s="25" t="s">
        <v>54</v>
      </c>
      <c r="F42" s="25" t="s">
        <v>57</v>
      </c>
      <c r="G42" s="25">
        <v>9.8000000000000007</v>
      </c>
      <c r="H42" s="28">
        <v>0.6694444444444444</v>
      </c>
      <c r="I42" s="25" t="s">
        <v>56</v>
      </c>
      <c r="J42" s="3" t="s">
        <v>55</v>
      </c>
      <c r="K42" s="25" t="s">
        <v>38</v>
      </c>
      <c r="L42" s="25">
        <v>7.21</v>
      </c>
      <c r="M42" s="38">
        <v>10.7</v>
      </c>
      <c r="N42" s="4">
        <v>133</v>
      </c>
      <c r="O42" s="39">
        <v>1.22</v>
      </c>
      <c r="P42" s="4">
        <v>452</v>
      </c>
      <c r="Q42" s="4">
        <v>38.299999999999997</v>
      </c>
      <c r="R42" s="4">
        <v>1.26</v>
      </c>
      <c r="S42" s="4">
        <v>7.9080000000000004</v>
      </c>
      <c r="T42" s="4">
        <v>30.1</v>
      </c>
      <c r="U42" s="4">
        <v>8.2739999999999991</v>
      </c>
      <c r="V42" s="36">
        <v>13.5456</v>
      </c>
      <c r="W42" s="36">
        <v>17.092199999999998</v>
      </c>
      <c r="X42" s="4">
        <v>2.72</v>
      </c>
      <c r="Y42" s="4">
        <v>0.5089405334920476</v>
      </c>
      <c r="Z42" s="4">
        <v>6.2</v>
      </c>
      <c r="AA42" s="6">
        <v>255</v>
      </c>
      <c r="AB42" s="6">
        <v>2650</v>
      </c>
    </row>
    <row r="43" spans="1:28" x14ac:dyDescent="0.25">
      <c r="A43" s="3">
        <v>24228</v>
      </c>
      <c r="B43" s="25">
        <v>959</v>
      </c>
      <c r="C43" s="26">
        <v>45499</v>
      </c>
      <c r="D43" s="33" t="s">
        <v>105</v>
      </c>
      <c r="E43" s="25" t="s">
        <v>54</v>
      </c>
      <c r="F43" s="25" t="s">
        <v>57</v>
      </c>
      <c r="G43" s="25">
        <v>9.8000000000000007</v>
      </c>
      <c r="H43" s="28">
        <v>0.6694444444444444</v>
      </c>
      <c r="I43" s="25" t="s">
        <v>56</v>
      </c>
      <c r="J43" s="3" t="s">
        <v>55</v>
      </c>
      <c r="K43" s="25" t="s">
        <v>99</v>
      </c>
      <c r="L43" s="25" t="s">
        <v>0</v>
      </c>
      <c r="M43" s="38">
        <v>5.12</v>
      </c>
      <c r="N43" s="43">
        <v>0.88</v>
      </c>
      <c r="O43" s="39">
        <v>1.1299999999999999</v>
      </c>
      <c r="P43" s="43">
        <v>8.5</v>
      </c>
      <c r="Q43" s="39">
        <v>7.4</v>
      </c>
      <c r="R43" s="43">
        <v>0.03</v>
      </c>
      <c r="S43" s="43">
        <v>0.03</v>
      </c>
      <c r="T43" s="43">
        <v>0.18</v>
      </c>
      <c r="U43" s="39">
        <v>4.2000000000000003E-2</v>
      </c>
      <c r="V43" s="46">
        <v>0.08</v>
      </c>
      <c r="W43" s="46">
        <v>0.08</v>
      </c>
      <c r="X43" s="39">
        <v>0.69489999999999996</v>
      </c>
      <c r="Y43" s="43">
        <v>5.1558615696933145E-2</v>
      </c>
      <c r="Z43" s="39">
        <v>0.19</v>
      </c>
      <c r="AA43" s="4">
        <v>31.1</v>
      </c>
      <c r="AB43" s="39">
        <v>39</v>
      </c>
    </row>
    <row r="44" spans="1:28" x14ac:dyDescent="0.25">
      <c r="A44" s="9">
        <v>37</v>
      </c>
      <c r="B44" s="25">
        <v>959</v>
      </c>
      <c r="C44" s="26">
        <v>45549</v>
      </c>
      <c r="D44" s="25" t="s">
        <v>53</v>
      </c>
      <c r="E44" s="25" t="s">
        <v>54</v>
      </c>
      <c r="F44" s="25" t="s">
        <v>57</v>
      </c>
      <c r="G44" s="27">
        <v>10</v>
      </c>
      <c r="H44" s="28">
        <v>0.35416666666666669</v>
      </c>
      <c r="I44" s="25" t="s">
        <v>68</v>
      </c>
      <c r="J44" s="3" t="s">
        <v>55</v>
      </c>
      <c r="K44" s="25" t="s">
        <v>58</v>
      </c>
      <c r="L44" s="27">
        <v>4.8</v>
      </c>
      <c r="M44" s="1">
        <v>8.27</v>
      </c>
      <c r="N44" s="39">
        <v>3.38</v>
      </c>
      <c r="O44" s="43">
        <v>0.4</v>
      </c>
      <c r="P44" s="4">
        <v>327</v>
      </c>
      <c r="Q44" s="4">
        <v>20.399999999999999</v>
      </c>
      <c r="R44" s="4">
        <v>1.2270000000000001</v>
      </c>
      <c r="S44" s="4">
        <v>7.66</v>
      </c>
      <c r="T44" s="4">
        <v>28.16</v>
      </c>
      <c r="U44" s="4">
        <v>8.3819999999999997</v>
      </c>
      <c r="V44" s="36">
        <v>14.2179</v>
      </c>
      <c r="W44" s="36">
        <v>18.451499999999999</v>
      </c>
      <c r="X44" s="4">
        <v>2.4529999999999998</v>
      </c>
      <c r="Y44" s="4">
        <v>1.7502148658594243</v>
      </c>
      <c r="Z44" s="4">
        <v>5.92</v>
      </c>
      <c r="AA44" s="4">
        <v>418</v>
      </c>
      <c r="AB44" s="4">
        <v>2800</v>
      </c>
    </row>
    <row r="45" spans="1:28" x14ac:dyDescent="0.25">
      <c r="A45" s="9">
        <v>39</v>
      </c>
      <c r="B45" s="25">
        <v>959</v>
      </c>
      <c r="C45" s="26">
        <v>45549</v>
      </c>
      <c r="D45" s="25" t="s">
        <v>53</v>
      </c>
      <c r="E45" s="25" t="s">
        <v>54</v>
      </c>
      <c r="F45" s="25" t="s">
        <v>57</v>
      </c>
      <c r="G45" s="27">
        <v>10</v>
      </c>
      <c r="H45" s="28">
        <v>0.35416666666666669</v>
      </c>
      <c r="I45" s="25" t="s">
        <v>68</v>
      </c>
      <c r="J45" s="3" t="s">
        <v>55</v>
      </c>
      <c r="K45" s="25" t="s">
        <v>38</v>
      </c>
      <c r="L45" s="27">
        <v>9</v>
      </c>
      <c r="M45" s="40">
        <v>11.7</v>
      </c>
      <c r="N45" s="39">
        <v>3.43</v>
      </c>
      <c r="O45" s="43">
        <v>0.4</v>
      </c>
      <c r="P45" s="4">
        <v>324</v>
      </c>
      <c r="Q45" s="4">
        <v>23.1</v>
      </c>
      <c r="R45" s="4">
        <v>1.2629999999999999</v>
      </c>
      <c r="S45" s="4">
        <v>7.6619999999999999</v>
      </c>
      <c r="T45" s="4">
        <v>28.56</v>
      </c>
      <c r="U45" s="4">
        <v>8.4320000000000004</v>
      </c>
      <c r="V45" s="36">
        <v>14.068899999999999</v>
      </c>
      <c r="W45" s="36">
        <v>18.224399999999999</v>
      </c>
      <c r="X45" s="4">
        <v>2.6019999999999999</v>
      </c>
      <c r="Y45" s="4">
        <v>1.7587542793517079</v>
      </c>
      <c r="Z45" s="4">
        <v>5.76</v>
      </c>
      <c r="AA45" s="4">
        <v>472</v>
      </c>
      <c r="AB45" s="4">
        <v>3040</v>
      </c>
    </row>
    <row r="46" spans="1:28" x14ac:dyDescent="0.25">
      <c r="A46" s="3">
        <v>24093</v>
      </c>
      <c r="B46" s="25">
        <v>964</v>
      </c>
      <c r="C46" s="26">
        <v>45432</v>
      </c>
      <c r="D46" s="25" t="s">
        <v>53</v>
      </c>
      <c r="E46" s="25" t="s">
        <v>54</v>
      </c>
      <c r="F46" s="25" t="s">
        <v>57</v>
      </c>
      <c r="G46" s="27">
        <v>9.6999999999999993</v>
      </c>
      <c r="H46" s="29">
        <v>0.53472222222222221</v>
      </c>
      <c r="I46" s="25" t="s">
        <v>68</v>
      </c>
      <c r="J46" s="3" t="s">
        <v>55</v>
      </c>
      <c r="K46" s="25" t="s">
        <v>75</v>
      </c>
      <c r="L46" s="27">
        <v>4.7</v>
      </c>
      <c r="M46" s="3">
        <v>51.3</v>
      </c>
      <c r="N46" s="4">
        <v>1090</v>
      </c>
      <c r="O46" s="39">
        <v>2.56</v>
      </c>
      <c r="P46" s="4">
        <v>1358</v>
      </c>
      <c r="Q46" s="4">
        <v>18.899999999999999</v>
      </c>
      <c r="R46" s="4">
        <v>1.7090000000000001</v>
      </c>
      <c r="S46" s="4">
        <v>9.8559999999999999</v>
      </c>
      <c r="T46" s="4">
        <v>29.62</v>
      </c>
      <c r="U46" s="4">
        <v>8.9120000000000008</v>
      </c>
      <c r="V46" s="36">
        <v>17.156199999999998</v>
      </c>
      <c r="W46" s="36">
        <v>21.322900000000001</v>
      </c>
      <c r="X46" s="4">
        <v>3.6133371233655485</v>
      </c>
      <c r="Y46" s="4">
        <v>1.9326810272983601</v>
      </c>
      <c r="Z46" s="4">
        <v>6.36</v>
      </c>
      <c r="AA46" s="4">
        <v>390</v>
      </c>
      <c r="AB46" s="4">
        <v>1600</v>
      </c>
    </row>
    <row r="47" spans="1:28" x14ac:dyDescent="0.25">
      <c r="A47" s="3">
        <v>24094</v>
      </c>
      <c r="B47" s="25">
        <v>964</v>
      </c>
      <c r="C47" s="26">
        <v>45432</v>
      </c>
      <c r="D47" s="25" t="s">
        <v>53</v>
      </c>
      <c r="E47" s="25" t="s">
        <v>54</v>
      </c>
      <c r="F47" s="25" t="s">
        <v>57</v>
      </c>
      <c r="G47" s="27">
        <v>9.6999999999999993</v>
      </c>
      <c r="H47" s="29">
        <v>0.53472222222222221</v>
      </c>
      <c r="I47" s="25" t="s">
        <v>68</v>
      </c>
      <c r="J47" s="3" t="s">
        <v>55</v>
      </c>
      <c r="K47" s="25" t="s">
        <v>38</v>
      </c>
      <c r="L47" s="27">
        <v>8.6999999999999993</v>
      </c>
      <c r="M47" s="3">
        <v>50.1</v>
      </c>
      <c r="N47" s="4">
        <v>1090</v>
      </c>
      <c r="O47" s="39">
        <v>2.92</v>
      </c>
      <c r="P47" s="4">
        <v>1336</v>
      </c>
      <c r="Q47" s="4">
        <v>20.2</v>
      </c>
      <c r="R47" s="4">
        <v>1.6559999999999999</v>
      </c>
      <c r="S47" s="4">
        <v>9.3539999999999992</v>
      </c>
      <c r="T47" s="4">
        <v>31.65</v>
      </c>
      <c r="U47" s="4">
        <v>8.8680000000000003</v>
      </c>
      <c r="V47" s="36">
        <v>17.117699999999999</v>
      </c>
      <c r="W47" s="36">
        <v>21.305199999999999</v>
      </c>
      <c r="X47" s="4">
        <v>3.4612620807276864</v>
      </c>
      <c r="Y47" s="4">
        <v>1.8647960968703186</v>
      </c>
      <c r="Z47" s="4">
        <v>6.2</v>
      </c>
      <c r="AA47" s="4">
        <v>420</v>
      </c>
      <c r="AB47" s="4">
        <v>1770</v>
      </c>
    </row>
    <row r="48" spans="1:28" x14ac:dyDescent="0.25">
      <c r="A48" s="3">
        <v>24095</v>
      </c>
      <c r="B48" s="25">
        <v>964</v>
      </c>
      <c r="C48" s="26">
        <v>45432</v>
      </c>
      <c r="D48" s="25" t="s">
        <v>53</v>
      </c>
      <c r="E48" s="25" t="s">
        <v>54</v>
      </c>
      <c r="F48" s="25" t="s">
        <v>57</v>
      </c>
      <c r="G48" s="27">
        <v>9.6999999999999993</v>
      </c>
      <c r="H48" s="29">
        <v>0.53472222222222221</v>
      </c>
      <c r="I48" s="25" t="s">
        <v>68</v>
      </c>
      <c r="J48" s="3" t="s">
        <v>55</v>
      </c>
      <c r="K48" s="25" t="s">
        <v>76</v>
      </c>
      <c r="L48" s="27">
        <v>8.6999999999999993</v>
      </c>
      <c r="M48" s="3">
        <v>58</v>
      </c>
      <c r="N48" s="4">
        <v>1110</v>
      </c>
      <c r="O48" s="39">
        <v>2.46</v>
      </c>
      <c r="P48" s="4">
        <v>1348</v>
      </c>
      <c r="Q48" s="4">
        <v>19.600000000000001</v>
      </c>
      <c r="R48" s="4">
        <v>1.627</v>
      </c>
      <c r="S48" s="4">
        <v>9.3780000000000001</v>
      </c>
      <c r="T48" s="4">
        <v>31.85</v>
      </c>
      <c r="U48" s="4">
        <v>9.0340000000000007</v>
      </c>
      <c r="V48" s="36">
        <v>17.222000000000001</v>
      </c>
      <c r="W48" s="36">
        <v>21.395700000000001</v>
      </c>
      <c r="X48" s="4">
        <v>3.5934394542353609</v>
      </c>
      <c r="Y48" s="4">
        <v>1.7629687012282567</v>
      </c>
      <c r="Z48" s="4">
        <v>5.52</v>
      </c>
      <c r="AA48" s="4">
        <v>367</v>
      </c>
      <c r="AB48" s="4">
        <v>1860</v>
      </c>
    </row>
    <row r="49" spans="1:28" x14ac:dyDescent="0.25">
      <c r="A49" s="45">
        <v>24229</v>
      </c>
      <c r="B49" s="25">
        <v>964</v>
      </c>
      <c r="C49" s="26">
        <v>45497</v>
      </c>
      <c r="D49" s="33" t="s">
        <v>105</v>
      </c>
      <c r="E49" s="25" t="s">
        <v>54</v>
      </c>
      <c r="F49" s="25" t="s">
        <v>57</v>
      </c>
      <c r="G49" s="25">
        <v>8.3000000000000007</v>
      </c>
      <c r="H49" s="28">
        <v>0.45694444444444443</v>
      </c>
      <c r="I49" s="25" t="s">
        <v>56</v>
      </c>
      <c r="J49" s="3" t="s">
        <v>55</v>
      </c>
      <c r="K49" s="25" t="s">
        <v>58</v>
      </c>
      <c r="L49" s="25">
        <v>2.2999999999999998</v>
      </c>
      <c r="M49" s="38">
        <v>13</v>
      </c>
      <c r="N49" s="4">
        <v>84.5</v>
      </c>
      <c r="O49" s="43">
        <v>0.4</v>
      </c>
      <c r="P49" s="4">
        <v>389</v>
      </c>
      <c r="Q49" s="39">
        <v>8.94</v>
      </c>
      <c r="R49" s="4">
        <v>1.34</v>
      </c>
      <c r="S49" s="4">
        <v>8.4179999999999993</v>
      </c>
      <c r="T49" s="4">
        <v>28.9</v>
      </c>
      <c r="U49" s="4">
        <v>8.3699999999999992</v>
      </c>
      <c r="V49" s="36">
        <v>14.616</v>
      </c>
      <c r="W49" s="36">
        <v>17.736999999999998</v>
      </c>
      <c r="X49" s="4">
        <v>2.7</v>
      </c>
      <c r="Y49" s="4">
        <v>0.63251886815632852</v>
      </c>
      <c r="Z49" s="4">
        <v>6.72</v>
      </c>
      <c r="AA49" s="4">
        <v>490</v>
      </c>
      <c r="AB49" s="4">
        <v>5050</v>
      </c>
    </row>
    <row r="50" spans="1:28" x14ac:dyDescent="0.25">
      <c r="A50" s="3">
        <v>24231</v>
      </c>
      <c r="B50" s="25">
        <v>964</v>
      </c>
      <c r="C50" s="26">
        <v>45497</v>
      </c>
      <c r="D50" s="33" t="s">
        <v>105</v>
      </c>
      <c r="E50" s="25" t="s">
        <v>54</v>
      </c>
      <c r="F50" s="25" t="s">
        <v>57</v>
      </c>
      <c r="G50" s="25">
        <v>8.3000000000000007</v>
      </c>
      <c r="H50" s="28">
        <v>0.45694444444444443</v>
      </c>
      <c r="I50" s="25" t="s">
        <v>56</v>
      </c>
      <c r="J50" s="3" t="s">
        <v>55</v>
      </c>
      <c r="K50" s="25" t="s">
        <v>38</v>
      </c>
      <c r="L50" s="25">
        <v>5.6</v>
      </c>
      <c r="M50" s="38">
        <v>12.7</v>
      </c>
      <c r="N50" s="4">
        <v>99.2</v>
      </c>
      <c r="O50" s="43">
        <v>0.4</v>
      </c>
      <c r="P50" s="4">
        <v>395</v>
      </c>
      <c r="Q50" s="39">
        <v>11.6</v>
      </c>
      <c r="R50" s="4">
        <v>1.36</v>
      </c>
      <c r="S50" s="4">
        <v>8.75</v>
      </c>
      <c r="T50" s="4">
        <v>29.76</v>
      </c>
      <c r="U50" s="4">
        <v>8.4559999999999995</v>
      </c>
      <c r="V50" s="36">
        <v>15.2462</v>
      </c>
      <c r="W50" s="36">
        <v>18.6708</v>
      </c>
      <c r="X50" s="4">
        <v>2.8450000000000002</v>
      </c>
      <c r="Y50" s="4">
        <v>0.63339699547454575</v>
      </c>
      <c r="Z50" s="4">
        <v>4.8</v>
      </c>
      <c r="AA50" s="4">
        <v>481</v>
      </c>
      <c r="AB50" s="4">
        <v>4820</v>
      </c>
    </row>
    <row r="51" spans="1:28" x14ac:dyDescent="0.25">
      <c r="A51" s="3">
        <v>7</v>
      </c>
      <c r="B51" s="25">
        <v>964</v>
      </c>
      <c r="C51" s="26">
        <v>45548</v>
      </c>
      <c r="D51" s="25" t="s">
        <v>53</v>
      </c>
      <c r="E51" s="25" t="s">
        <v>54</v>
      </c>
      <c r="F51" s="25" t="s">
        <v>57</v>
      </c>
      <c r="G51" s="27">
        <v>9.5</v>
      </c>
      <c r="H51" s="28">
        <v>0.55555555555555558</v>
      </c>
      <c r="I51" s="25" t="s">
        <v>68</v>
      </c>
      <c r="J51" s="3" t="s">
        <v>55</v>
      </c>
      <c r="K51" s="25" t="s">
        <v>58</v>
      </c>
      <c r="L51" s="27">
        <v>4.8</v>
      </c>
      <c r="M51" s="5">
        <v>31.9</v>
      </c>
      <c r="N51" s="4">
        <v>41.7</v>
      </c>
      <c r="O51" s="39">
        <v>0.89200000000000002</v>
      </c>
      <c r="P51" s="4">
        <v>386</v>
      </c>
      <c r="Q51" s="4">
        <v>36.6</v>
      </c>
      <c r="R51" s="4">
        <v>1.421</v>
      </c>
      <c r="S51" s="4">
        <v>9.2680000000000007</v>
      </c>
      <c r="T51" s="4">
        <v>29.64</v>
      </c>
      <c r="U51" s="4">
        <v>8.5180000000000007</v>
      </c>
      <c r="V51" s="36">
        <v>16.79</v>
      </c>
      <c r="W51" s="36">
        <v>20.501999999999999</v>
      </c>
      <c r="X51" s="4">
        <v>2.835</v>
      </c>
      <c r="Y51" s="4">
        <v>0.74768772186531218</v>
      </c>
      <c r="Z51" s="4">
        <v>5.44</v>
      </c>
      <c r="AA51" s="4">
        <v>653</v>
      </c>
      <c r="AB51" s="4">
        <v>2400</v>
      </c>
    </row>
    <row r="52" spans="1:28" x14ac:dyDescent="0.25">
      <c r="A52" s="3">
        <v>9</v>
      </c>
      <c r="B52" s="25">
        <v>964</v>
      </c>
      <c r="C52" s="26">
        <v>45548</v>
      </c>
      <c r="D52" s="25" t="s">
        <v>53</v>
      </c>
      <c r="E52" s="25" t="s">
        <v>54</v>
      </c>
      <c r="F52" s="25" t="s">
        <v>57</v>
      </c>
      <c r="G52" s="27">
        <v>9.5</v>
      </c>
      <c r="H52" s="28">
        <v>0.55555555555555558</v>
      </c>
      <c r="I52" s="25" t="s">
        <v>68</v>
      </c>
      <c r="J52" s="3" t="s">
        <v>55</v>
      </c>
      <c r="K52" s="25" t="s">
        <v>38</v>
      </c>
      <c r="L52" s="27">
        <v>8.5</v>
      </c>
      <c r="M52" s="5">
        <v>16.600000000000001</v>
      </c>
      <c r="N52" s="4">
        <v>21.3</v>
      </c>
      <c r="O52" s="43">
        <v>0.4</v>
      </c>
      <c r="P52" s="4">
        <v>369</v>
      </c>
      <c r="Q52" s="4">
        <v>28.1</v>
      </c>
      <c r="R52" s="4">
        <v>1.367</v>
      </c>
      <c r="S52" s="4">
        <v>9.3480000000000008</v>
      </c>
      <c r="T52" s="4">
        <v>28.66</v>
      </c>
      <c r="U52" s="4">
        <v>8.4960000000000004</v>
      </c>
      <c r="V52" s="36">
        <v>16.193999999999999</v>
      </c>
      <c r="W52" s="36">
        <v>19.422699999999999</v>
      </c>
      <c r="X52" s="4">
        <v>2.7909999999999999</v>
      </c>
      <c r="Y52" s="4">
        <v>0.70499065440389341</v>
      </c>
      <c r="Z52" s="4">
        <v>5.84</v>
      </c>
      <c r="AA52" s="4">
        <v>464</v>
      </c>
      <c r="AB52" s="4">
        <v>2070</v>
      </c>
    </row>
    <row r="53" spans="1:28" x14ac:dyDescent="0.25">
      <c r="A53" s="3">
        <v>115</v>
      </c>
      <c r="B53" s="25">
        <v>964</v>
      </c>
      <c r="C53" s="26">
        <v>45548</v>
      </c>
      <c r="D53" s="25" t="s">
        <v>53</v>
      </c>
      <c r="E53" s="25" t="s">
        <v>54</v>
      </c>
      <c r="F53" s="25" t="s">
        <v>57</v>
      </c>
      <c r="G53" s="27">
        <v>9.5</v>
      </c>
      <c r="H53" s="28">
        <v>0.55555555555555558</v>
      </c>
      <c r="I53" s="25" t="s">
        <v>68</v>
      </c>
      <c r="J53" s="3" t="s">
        <v>55</v>
      </c>
      <c r="K53" s="25" t="s">
        <v>69</v>
      </c>
      <c r="L53" s="27"/>
      <c r="M53" s="41">
        <v>5.32</v>
      </c>
      <c r="N53" s="39">
        <v>3.76</v>
      </c>
      <c r="O53" s="43">
        <v>0.4</v>
      </c>
      <c r="P53" s="43">
        <v>8.5</v>
      </c>
      <c r="Q53" s="43">
        <v>1.5</v>
      </c>
      <c r="R53" s="43">
        <v>0.03</v>
      </c>
      <c r="S53" s="43">
        <v>0.03</v>
      </c>
      <c r="T53" s="43">
        <v>0.18</v>
      </c>
      <c r="U53" s="43">
        <v>0.02</v>
      </c>
      <c r="V53" s="46">
        <v>0.08</v>
      </c>
      <c r="W53" s="46">
        <v>0.08</v>
      </c>
      <c r="X53" s="39">
        <v>0.53580000000000005</v>
      </c>
      <c r="Y53" s="43">
        <v>0.05</v>
      </c>
      <c r="Z53" s="43">
        <v>0.05</v>
      </c>
      <c r="AA53" s="4">
        <v>110</v>
      </c>
      <c r="AB53" s="43">
        <v>14.38</v>
      </c>
    </row>
    <row r="54" spans="1:28" x14ac:dyDescent="0.25">
      <c r="A54" s="3">
        <v>24124</v>
      </c>
      <c r="B54" s="33" t="s">
        <v>115</v>
      </c>
      <c r="C54" s="26">
        <v>45435</v>
      </c>
      <c r="D54" s="25" t="s">
        <v>53</v>
      </c>
      <c r="E54" s="25" t="s">
        <v>54</v>
      </c>
      <c r="F54" s="25" t="s">
        <v>57</v>
      </c>
      <c r="G54" s="27">
        <v>17</v>
      </c>
      <c r="H54" s="28">
        <v>0.17083333333333331</v>
      </c>
      <c r="I54" s="25" t="s">
        <v>68</v>
      </c>
      <c r="J54" s="3" t="s">
        <v>55</v>
      </c>
      <c r="K54" s="25" t="s">
        <v>58</v>
      </c>
      <c r="L54" s="27">
        <v>5</v>
      </c>
      <c r="M54" s="3">
        <v>23.3</v>
      </c>
      <c r="N54" s="4">
        <v>446</v>
      </c>
      <c r="O54" s="39">
        <v>1.33</v>
      </c>
      <c r="P54" s="4">
        <v>642.09772982331549</v>
      </c>
      <c r="Q54" s="43">
        <v>1.5</v>
      </c>
      <c r="R54" s="4">
        <v>1.399</v>
      </c>
      <c r="S54" s="4">
        <v>10.022</v>
      </c>
      <c r="T54" s="4">
        <v>31.48</v>
      </c>
      <c r="U54" s="4">
        <v>8.5960000000000001</v>
      </c>
      <c r="V54" s="36">
        <v>17.662500000000001</v>
      </c>
      <c r="W54" s="36">
        <v>19.774799999999999</v>
      </c>
      <c r="X54" s="4">
        <v>2.6743092666287662</v>
      </c>
      <c r="Y54" s="39">
        <v>0.44854673581530519</v>
      </c>
      <c r="Z54" s="4">
        <v>2.2799999999999998</v>
      </c>
      <c r="AA54" s="4">
        <v>157</v>
      </c>
      <c r="AB54" s="4">
        <v>1220</v>
      </c>
    </row>
    <row r="55" spans="1:28" x14ac:dyDescent="0.25">
      <c r="A55" s="3">
        <v>24081</v>
      </c>
      <c r="B55" s="25" t="s">
        <v>93</v>
      </c>
      <c r="C55" s="26">
        <v>45433</v>
      </c>
      <c r="D55" s="25" t="s">
        <v>53</v>
      </c>
      <c r="E55" s="25" t="s">
        <v>54</v>
      </c>
      <c r="F55" s="25" t="s">
        <v>57</v>
      </c>
      <c r="G55" s="27">
        <v>10.4</v>
      </c>
      <c r="H55" s="28">
        <v>7.8472222222222221E-2</v>
      </c>
      <c r="I55" s="25" t="s">
        <v>68</v>
      </c>
      <c r="J55" s="3" t="s">
        <v>55</v>
      </c>
      <c r="K55" s="25" t="s">
        <v>75</v>
      </c>
      <c r="L55" s="27">
        <v>5.2</v>
      </c>
      <c r="M55" s="38">
        <v>11.5</v>
      </c>
      <c r="N55" s="4">
        <v>471</v>
      </c>
      <c r="O55" s="39">
        <v>1.71</v>
      </c>
      <c r="P55" s="4">
        <v>598</v>
      </c>
      <c r="Q55" s="39">
        <v>5.86</v>
      </c>
      <c r="R55" s="4">
        <v>1.075</v>
      </c>
      <c r="S55" s="4">
        <v>6.4880000000000004</v>
      </c>
      <c r="T55" s="4">
        <v>28.54</v>
      </c>
      <c r="U55" s="4">
        <v>8.1020000000000003</v>
      </c>
      <c r="V55" s="36">
        <v>11.9152</v>
      </c>
      <c r="W55" s="36">
        <v>16.5688</v>
      </c>
      <c r="X55" s="4">
        <v>2.2642698500832874</v>
      </c>
      <c r="Y55" s="4">
        <v>0.92289268718124451</v>
      </c>
      <c r="Z55" s="4">
        <v>1.89</v>
      </c>
      <c r="AA55" s="4">
        <v>107</v>
      </c>
      <c r="AB55" s="4">
        <v>586</v>
      </c>
    </row>
    <row r="56" spans="1:28" x14ac:dyDescent="0.25">
      <c r="A56" s="3">
        <v>24082</v>
      </c>
      <c r="B56" s="25" t="s">
        <v>93</v>
      </c>
      <c r="C56" s="26">
        <v>45433</v>
      </c>
      <c r="D56" s="25" t="s">
        <v>53</v>
      </c>
      <c r="E56" s="25" t="s">
        <v>54</v>
      </c>
      <c r="F56" s="25" t="s">
        <v>57</v>
      </c>
      <c r="G56" s="27">
        <v>10.4</v>
      </c>
      <c r="H56" s="28">
        <v>7.8472222222222221E-2</v>
      </c>
      <c r="I56" s="25" t="s">
        <v>68</v>
      </c>
      <c r="J56" s="3" t="s">
        <v>55</v>
      </c>
      <c r="K56" s="25" t="s">
        <v>38</v>
      </c>
      <c r="L56" s="27">
        <v>9.3000000000000007</v>
      </c>
      <c r="M56" s="38">
        <v>13</v>
      </c>
      <c r="N56" s="4">
        <v>461</v>
      </c>
      <c r="O56" s="39">
        <v>1.39</v>
      </c>
      <c r="P56" s="4">
        <v>595.8699968120593</v>
      </c>
      <c r="Q56" s="39">
        <v>6.76</v>
      </c>
      <c r="R56" s="4">
        <v>1.069</v>
      </c>
      <c r="S56" s="4">
        <v>6.4580000000000002</v>
      </c>
      <c r="T56" s="4">
        <v>28.18</v>
      </c>
      <c r="U56" s="4">
        <v>7.92</v>
      </c>
      <c r="V56" s="36">
        <v>11.914400000000001</v>
      </c>
      <c r="W56" s="36">
        <v>16.469200000000001</v>
      </c>
      <c r="X56" s="4">
        <v>2.3754580788450861</v>
      </c>
      <c r="Y56" s="4">
        <v>0.99926323391279093</v>
      </c>
      <c r="Z56" s="4">
        <v>2</v>
      </c>
      <c r="AA56" s="4">
        <v>123</v>
      </c>
      <c r="AB56" s="4">
        <v>689</v>
      </c>
    </row>
    <row r="57" spans="1:28" x14ac:dyDescent="0.25">
      <c r="A57" s="45">
        <v>24217</v>
      </c>
      <c r="B57" s="25" t="s">
        <v>93</v>
      </c>
      <c r="C57" s="26">
        <v>45499</v>
      </c>
      <c r="D57" s="33" t="s">
        <v>105</v>
      </c>
      <c r="E57" s="25" t="s">
        <v>54</v>
      </c>
      <c r="F57" s="25" t="s">
        <v>57</v>
      </c>
      <c r="G57" s="25">
        <v>9</v>
      </c>
      <c r="H57" s="28">
        <v>0.375</v>
      </c>
      <c r="I57" s="25" t="s">
        <v>56</v>
      </c>
      <c r="J57" s="3" t="s">
        <v>55</v>
      </c>
      <c r="K57" s="25" t="s">
        <v>58</v>
      </c>
      <c r="L57" s="25">
        <v>1.75</v>
      </c>
      <c r="M57" s="38">
        <v>8.31</v>
      </c>
      <c r="N57" s="4">
        <v>147</v>
      </c>
      <c r="O57" s="43">
        <v>0.4</v>
      </c>
      <c r="P57" s="4">
        <v>369</v>
      </c>
      <c r="Q57" s="39">
        <v>7.21</v>
      </c>
      <c r="R57" s="4">
        <v>0.999</v>
      </c>
      <c r="S57" s="4">
        <v>5.88</v>
      </c>
      <c r="T57" s="4">
        <v>25.86</v>
      </c>
      <c r="U57" s="4">
        <v>7.94</v>
      </c>
      <c r="V57" s="36">
        <v>10.0947</v>
      </c>
      <c r="W57" s="36">
        <v>15.294499999999999</v>
      </c>
      <c r="X57" s="4">
        <v>2.1659999999999999</v>
      </c>
      <c r="Y57" s="4">
        <v>1.3009561450478035</v>
      </c>
      <c r="Z57" s="4">
        <v>4.5599999999999996</v>
      </c>
      <c r="AA57" s="4">
        <v>317</v>
      </c>
      <c r="AB57" s="4">
        <v>3190</v>
      </c>
    </row>
    <row r="58" spans="1:28" x14ac:dyDescent="0.25">
      <c r="A58" s="45">
        <v>24219</v>
      </c>
      <c r="B58" s="25" t="s">
        <v>93</v>
      </c>
      <c r="C58" s="26">
        <v>45499</v>
      </c>
      <c r="D58" s="33" t="s">
        <v>105</v>
      </c>
      <c r="E58" s="25" t="s">
        <v>54</v>
      </c>
      <c r="F58" s="25" t="s">
        <v>57</v>
      </c>
      <c r="G58" s="25">
        <v>9</v>
      </c>
      <c r="H58" s="28">
        <v>0.375</v>
      </c>
      <c r="I58" s="25" t="s">
        <v>56</v>
      </c>
      <c r="J58" s="3" t="s">
        <v>55</v>
      </c>
      <c r="K58" s="25" t="s">
        <v>38</v>
      </c>
      <c r="L58" s="25">
        <v>7.36</v>
      </c>
      <c r="M58" s="38">
        <v>10</v>
      </c>
      <c r="N58" s="4">
        <v>147</v>
      </c>
      <c r="O58" s="39">
        <v>0.85899999999999999</v>
      </c>
      <c r="P58" s="4">
        <v>410</v>
      </c>
      <c r="Q58" s="39">
        <v>6.34</v>
      </c>
      <c r="R58" s="4">
        <v>1.004</v>
      </c>
      <c r="S58" s="4">
        <v>5.8259999999999996</v>
      </c>
      <c r="T58" s="4">
        <v>25.64</v>
      </c>
      <c r="U58" s="4">
        <v>7.8659999999999997</v>
      </c>
      <c r="V58" s="36">
        <v>10.238300000000001</v>
      </c>
      <c r="W58" s="36">
        <v>15.19</v>
      </c>
      <c r="X58" s="4">
        <v>2.202</v>
      </c>
      <c r="Y58" s="4">
        <v>1.3009561450478035</v>
      </c>
      <c r="Z58" s="4">
        <v>4</v>
      </c>
      <c r="AA58" s="6">
        <v>299</v>
      </c>
      <c r="AB58" s="6">
        <v>2420</v>
      </c>
    </row>
    <row r="59" spans="1:28" x14ac:dyDescent="0.25">
      <c r="A59" s="3">
        <v>28</v>
      </c>
      <c r="B59" s="25" t="s">
        <v>93</v>
      </c>
      <c r="C59" s="26">
        <v>45549</v>
      </c>
      <c r="D59" s="25" t="s">
        <v>53</v>
      </c>
      <c r="E59" s="25" t="s">
        <v>54</v>
      </c>
      <c r="F59" s="25" t="s">
        <v>57</v>
      </c>
      <c r="G59" s="27">
        <v>9.8000000000000007</v>
      </c>
      <c r="H59" s="28">
        <v>0.16250000000000001</v>
      </c>
      <c r="I59" s="25" t="s">
        <v>68</v>
      </c>
      <c r="J59" s="3" t="s">
        <v>55</v>
      </c>
      <c r="K59" s="25" t="s">
        <v>58</v>
      </c>
      <c r="L59" s="27">
        <v>5.2</v>
      </c>
      <c r="M59" s="3">
        <v>20.5</v>
      </c>
      <c r="N59" s="4">
        <v>137</v>
      </c>
      <c r="O59" s="43">
        <v>0.4</v>
      </c>
      <c r="P59" s="4">
        <v>382</v>
      </c>
      <c r="Q59" s="39">
        <v>11.1</v>
      </c>
      <c r="R59" s="24" t="s">
        <v>52</v>
      </c>
      <c r="S59" s="24" t="s">
        <v>52</v>
      </c>
      <c r="T59" s="24" t="s">
        <v>52</v>
      </c>
      <c r="U59" s="24" t="s">
        <v>52</v>
      </c>
      <c r="V59" s="36">
        <v>11.970700000000001</v>
      </c>
      <c r="W59" s="36">
        <v>17.186800000000002</v>
      </c>
      <c r="X59" s="4">
        <v>2.2589999999999999</v>
      </c>
      <c r="Y59" s="4">
        <v>2.168646126981328</v>
      </c>
      <c r="Z59" s="4">
        <v>6.92</v>
      </c>
      <c r="AA59" s="4">
        <v>253</v>
      </c>
      <c r="AB59" s="4">
        <v>1750</v>
      </c>
    </row>
    <row r="60" spans="1:28" x14ac:dyDescent="0.25">
      <c r="A60" s="3">
        <v>30</v>
      </c>
      <c r="B60" s="25" t="s">
        <v>93</v>
      </c>
      <c r="C60" s="26">
        <v>45549</v>
      </c>
      <c r="D60" s="25" t="s">
        <v>53</v>
      </c>
      <c r="E60" s="25" t="s">
        <v>54</v>
      </c>
      <c r="F60" s="25" t="s">
        <v>57</v>
      </c>
      <c r="G60" s="27">
        <v>9.8000000000000007</v>
      </c>
      <c r="H60" s="28">
        <v>0.16250000000000001</v>
      </c>
      <c r="I60" s="25" t="s">
        <v>68</v>
      </c>
      <c r="J60" s="3" t="s">
        <v>55</v>
      </c>
      <c r="K60" s="25" t="s">
        <v>38</v>
      </c>
      <c r="L60" s="27">
        <v>9.3000000000000007</v>
      </c>
      <c r="M60" s="5">
        <v>12.5</v>
      </c>
      <c r="N60" s="4">
        <v>162</v>
      </c>
      <c r="O60" s="43">
        <v>0.4</v>
      </c>
      <c r="P60" s="4">
        <v>424</v>
      </c>
      <c r="Q60" s="39">
        <v>14.2</v>
      </c>
      <c r="R60" s="4">
        <v>1.1519999999999999</v>
      </c>
      <c r="S60" s="4">
        <v>6.5220000000000002</v>
      </c>
      <c r="T60" s="4">
        <v>26.16</v>
      </c>
      <c r="U60" s="4">
        <v>8.0459999999999994</v>
      </c>
      <c r="V60" s="36">
        <v>11.666600000000001</v>
      </c>
      <c r="W60" s="36">
        <v>16.633500000000002</v>
      </c>
      <c r="X60" s="4">
        <v>2.2970000000000002</v>
      </c>
      <c r="Y60" s="4">
        <v>2.168646126981328</v>
      </c>
      <c r="Z60" s="4">
        <v>7.16</v>
      </c>
      <c r="AA60" s="4">
        <v>248</v>
      </c>
      <c r="AB60" s="4">
        <v>1790</v>
      </c>
    </row>
    <row r="61" spans="1:28" x14ac:dyDescent="0.25">
      <c r="A61" s="3">
        <v>24064</v>
      </c>
      <c r="B61" s="25" t="s">
        <v>88</v>
      </c>
      <c r="C61" s="26">
        <v>45434</v>
      </c>
      <c r="D61" s="25" t="s">
        <v>53</v>
      </c>
      <c r="E61" s="25" t="s">
        <v>54</v>
      </c>
      <c r="F61" s="25" t="s">
        <v>57</v>
      </c>
      <c r="G61" s="27">
        <v>48.9</v>
      </c>
      <c r="H61" s="28">
        <v>0.77083333333333337</v>
      </c>
      <c r="I61" s="25" t="s">
        <v>80</v>
      </c>
      <c r="J61" s="3" t="s">
        <v>95</v>
      </c>
      <c r="K61" s="25" t="s">
        <v>58</v>
      </c>
      <c r="L61" s="27">
        <v>5</v>
      </c>
      <c r="M61" s="38">
        <v>6.85</v>
      </c>
      <c r="N61" s="4">
        <v>96.3</v>
      </c>
      <c r="O61" s="39">
        <v>0.95799999999999996</v>
      </c>
      <c r="P61" s="4">
        <v>278.87982759201623</v>
      </c>
      <c r="Q61" s="39">
        <v>5.23</v>
      </c>
      <c r="R61" s="4">
        <v>1.2989999999999999</v>
      </c>
      <c r="S61" s="4">
        <v>9.0020000000000007</v>
      </c>
      <c r="T61" s="4">
        <v>31.08</v>
      </c>
      <c r="U61" s="4">
        <v>8.5559999999999992</v>
      </c>
      <c r="V61" s="36">
        <v>16.1343</v>
      </c>
      <c r="W61" s="36">
        <v>19.5931</v>
      </c>
      <c r="X61" s="4">
        <v>2.7608641273450822</v>
      </c>
      <c r="Y61" s="39">
        <v>0.48418632429002689</v>
      </c>
      <c r="Z61" s="4">
        <v>2.52</v>
      </c>
      <c r="AA61" s="4">
        <v>169</v>
      </c>
      <c r="AB61" s="4">
        <v>1420</v>
      </c>
    </row>
    <row r="62" spans="1:28" x14ac:dyDescent="0.25">
      <c r="A62" s="3">
        <v>24065</v>
      </c>
      <c r="B62" s="25" t="s">
        <v>88</v>
      </c>
      <c r="C62" s="26">
        <v>45434</v>
      </c>
      <c r="D62" s="25" t="s">
        <v>53</v>
      </c>
      <c r="E62" s="25" t="s">
        <v>54</v>
      </c>
      <c r="F62" s="25" t="s">
        <v>57</v>
      </c>
      <c r="G62" s="27">
        <v>48.9</v>
      </c>
      <c r="H62" s="28">
        <v>0.77083333333333337</v>
      </c>
      <c r="I62" s="25" t="s">
        <v>80</v>
      </c>
      <c r="J62" s="3" t="s">
        <v>95</v>
      </c>
      <c r="K62" s="25" t="s">
        <v>75</v>
      </c>
      <c r="L62" s="27">
        <v>16</v>
      </c>
      <c r="M62" s="38">
        <v>7.5</v>
      </c>
      <c r="N62" s="4">
        <v>108</v>
      </c>
      <c r="O62" s="39">
        <v>0.873</v>
      </c>
      <c r="P62" s="4">
        <v>297</v>
      </c>
      <c r="Q62" s="39">
        <v>6.15</v>
      </c>
      <c r="R62" s="4">
        <v>1.329</v>
      </c>
      <c r="S62" s="4">
        <v>9.3620000000000001</v>
      </c>
      <c r="T62" s="4">
        <v>28.08</v>
      </c>
      <c r="U62" s="4">
        <v>8.2940000000000005</v>
      </c>
      <c r="V62" s="36">
        <v>16.155000000000001</v>
      </c>
      <c r="W62" s="36">
        <v>19.597799999999999</v>
      </c>
      <c r="X62" s="7" t="s">
        <v>1</v>
      </c>
      <c r="Y62" s="39">
        <v>0.48333776265967637</v>
      </c>
      <c r="Z62" s="4">
        <v>3.08</v>
      </c>
      <c r="AA62" s="4">
        <v>164</v>
      </c>
      <c r="AB62" s="4">
        <v>1470</v>
      </c>
    </row>
    <row r="63" spans="1:28" x14ac:dyDescent="0.25">
      <c r="A63" s="3">
        <v>24066</v>
      </c>
      <c r="B63" s="25" t="s">
        <v>88</v>
      </c>
      <c r="C63" s="26">
        <v>45434</v>
      </c>
      <c r="D63" s="25" t="s">
        <v>53</v>
      </c>
      <c r="E63" s="25" t="s">
        <v>54</v>
      </c>
      <c r="F63" s="25" t="s">
        <v>57</v>
      </c>
      <c r="G63" s="27">
        <v>48.9</v>
      </c>
      <c r="H63" s="28">
        <v>0.77083333333333337</v>
      </c>
      <c r="I63" s="25" t="s">
        <v>80</v>
      </c>
      <c r="J63" s="3" t="s">
        <v>95</v>
      </c>
      <c r="K63" s="25" t="s">
        <v>38</v>
      </c>
      <c r="L63" s="27">
        <v>48</v>
      </c>
      <c r="M63" s="3">
        <v>16.3</v>
      </c>
      <c r="N63" s="4">
        <v>111</v>
      </c>
      <c r="O63" s="39">
        <v>0.98799999999999999</v>
      </c>
      <c r="P63" s="4">
        <v>298</v>
      </c>
      <c r="Q63" s="39">
        <v>5.24</v>
      </c>
      <c r="R63" s="4">
        <v>1.331</v>
      </c>
      <c r="S63" s="4">
        <v>9.2840000000000007</v>
      </c>
      <c r="T63" s="4">
        <v>28.24</v>
      </c>
      <c r="U63" s="4">
        <v>8.3019999999999996</v>
      </c>
      <c r="V63" s="36">
        <v>16.232299999999999</v>
      </c>
      <c r="W63" s="36">
        <v>19.6769</v>
      </c>
      <c r="X63" s="4">
        <v>2.6535588402501422</v>
      </c>
      <c r="Y63" s="39">
        <v>0.43496974972969688</v>
      </c>
      <c r="Z63" s="4">
        <v>3.72</v>
      </c>
      <c r="AA63" s="4">
        <v>44.8</v>
      </c>
      <c r="AB63" s="4">
        <v>282</v>
      </c>
    </row>
    <row r="64" spans="1:28" x14ac:dyDescent="0.25">
      <c r="A64" s="3">
        <v>24309</v>
      </c>
      <c r="B64" s="25" t="s">
        <v>88</v>
      </c>
      <c r="C64" s="26">
        <v>45505</v>
      </c>
      <c r="D64" s="33" t="s">
        <v>105</v>
      </c>
      <c r="E64" s="25" t="s">
        <v>54</v>
      </c>
      <c r="F64" s="25" t="s">
        <v>57</v>
      </c>
      <c r="G64" s="25">
        <v>48</v>
      </c>
      <c r="H64" s="28">
        <v>0.50277777777777777</v>
      </c>
      <c r="I64" s="25" t="s">
        <v>100</v>
      </c>
      <c r="J64" s="3" t="s">
        <v>55</v>
      </c>
      <c r="K64" s="25" t="s">
        <v>58</v>
      </c>
      <c r="L64" s="25">
        <v>2.0699999999999998</v>
      </c>
      <c r="M64" s="38">
        <v>7.9</v>
      </c>
      <c r="N64" s="4">
        <v>23.1</v>
      </c>
      <c r="O64" s="43">
        <v>0.4</v>
      </c>
      <c r="P64" s="4">
        <v>233</v>
      </c>
      <c r="Q64" s="43">
        <v>1.5</v>
      </c>
      <c r="R64" s="4">
        <v>1.319</v>
      </c>
      <c r="S64" s="4">
        <v>8.6479999999999997</v>
      </c>
      <c r="T64" s="4">
        <v>30.4</v>
      </c>
      <c r="U64" s="4">
        <v>8.3759999999999994</v>
      </c>
      <c r="V64" s="36">
        <v>15.250999999999999</v>
      </c>
      <c r="W64" s="36">
        <v>18.451000000000001</v>
      </c>
      <c r="X64" s="4">
        <v>2.718</v>
      </c>
      <c r="Y64" s="39">
        <v>0.16623326218293266</v>
      </c>
      <c r="Z64" s="4">
        <v>2.52</v>
      </c>
      <c r="AA64" s="4">
        <v>181</v>
      </c>
      <c r="AB64" s="4">
        <v>1790</v>
      </c>
    </row>
    <row r="65" spans="1:28" x14ac:dyDescent="0.25">
      <c r="A65" s="45">
        <v>24310</v>
      </c>
      <c r="B65" s="25" t="s">
        <v>88</v>
      </c>
      <c r="C65" s="26">
        <v>45505</v>
      </c>
      <c r="D65" s="33" t="s">
        <v>105</v>
      </c>
      <c r="E65" s="25" t="s">
        <v>54</v>
      </c>
      <c r="F65" s="25" t="s">
        <v>57</v>
      </c>
      <c r="G65" s="25">
        <v>48</v>
      </c>
      <c r="H65" s="28">
        <v>0.50277777777777777</v>
      </c>
      <c r="I65" s="25" t="s">
        <v>100</v>
      </c>
      <c r="J65" s="3" t="s">
        <v>55</v>
      </c>
      <c r="K65" s="25" t="s">
        <v>75</v>
      </c>
      <c r="L65" s="25">
        <v>20.03</v>
      </c>
      <c r="M65" s="3">
        <v>66.8</v>
      </c>
      <c r="N65" s="4">
        <v>163</v>
      </c>
      <c r="O65" s="43">
        <v>0.4</v>
      </c>
      <c r="P65" s="4">
        <v>401</v>
      </c>
      <c r="Q65" s="39">
        <v>8.1999999999999993</v>
      </c>
      <c r="R65" s="4">
        <v>1.3879999999999999</v>
      </c>
      <c r="S65" s="4">
        <v>8.8000000000000007</v>
      </c>
      <c r="T65" s="4">
        <v>30.18</v>
      </c>
      <c r="U65" s="4">
        <v>8.5380000000000003</v>
      </c>
      <c r="V65" s="36">
        <v>15.579800000000001</v>
      </c>
      <c r="W65" s="36">
        <v>18.686900000000001</v>
      </c>
      <c r="X65" s="4">
        <v>2.6030000000000002</v>
      </c>
      <c r="Y65" s="39">
        <v>0.46918718696790734</v>
      </c>
      <c r="Z65" s="4">
        <v>1.25</v>
      </c>
      <c r="AA65" s="4">
        <v>122</v>
      </c>
      <c r="AB65" s="4">
        <v>819</v>
      </c>
    </row>
    <row r="66" spans="1:28" x14ac:dyDescent="0.25">
      <c r="A66" s="45">
        <v>24311</v>
      </c>
      <c r="B66" s="25" t="s">
        <v>88</v>
      </c>
      <c r="C66" s="26">
        <v>45505</v>
      </c>
      <c r="D66" s="33" t="s">
        <v>105</v>
      </c>
      <c r="E66" s="25" t="s">
        <v>54</v>
      </c>
      <c r="F66" s="25" t="s">
        <v>57</v>
      </c>
      <c r="G66" s="25">
        <v>48</v>
      </c>
      <c r="H66" s="28">
        <v>0.50277777777777777</v>
      </c>
      <c r="I66" s="25" t="s">
        <v>100</v>
      </c>
      <c r="J66" s="3" t="s">
        <v>55</v>
      </c>
      <c r="K66" s="25" t="s">
        <v>38</v>
      </c>
      <c r="L66" s="25">
        <v>46.74</v>
      </c>
      <c r="M66" s="3">
        <v>45.8</v>
      </c>
      <c r="N66" s="4">
        <v>178</v>
      </c>
      <c r="O66" s="39">
        <v>1.1200000000000001</v>
      </c>
      <c r="P66" s="4">
        <v>414</v>
      </c>
      <c r="Q66" s="43">
        <v>1.5</v>
      </c>
      <c r="R66" s="4">
        <v>1.4550000000000001</v>
      </c>
      <c r="S66" s="4">
        <v>8.93</v>
      </c>
      <c r="T66" s="4">
        <v>30.02</v>
      </c>
      <c r="U66" s="4">
        <v>8.4779999999999998</v>
      </c>
      <c r="V66" s="36">
        <v>15.834</v>
      </c>
      <c r="W66" s="36">
        <v>19.120699999999999</v>
      </c>
      <c r="X66" s="4">
        <v>2.4460000000000002</v>
      </c>
      <c r="Y66" s="4">
        <v>0.75896920197962225</v>
      </c>
      <c r="Z66" s="39">
        <v>0.38</v>
      </c>
      <c r="AA66" s="4">
        <v>79.5</v>
      </c>
      <c r="AB66" s="4">
        <v>387</v>
      </c>
    </row>
    <row r="67" spans="1:28" x14ac:dyDescent="0.25">
      <c r="A67" s="3">
        <v>97</v>
      </c>
      <c r="B67" s="25" t="s">
        <v>88</v>
      </c>
      <c r="C67" s="26">
        <v>45551</v>
      </c>
      <c r="D67" s="25" t="s">
        <v>53</v>
      </c>
      <c r="E67" s="25" t="s">
        <v>54</v>
      </c>
      <c r="F67" s="25" t="s">
        <v>57</v>
      </c>
      <c r="G67" s="27">
        <v>49.3</v>
      </c>
      <c r="H67" s="28">
        <v>0.36805555555555558</v>
      </c>
      <c r="I67" s="25" t="s">
        <v>80</v>
      </c>
      <c r="J67" s="3" t="s">
        <v>55</v>
      </c>
      <c r="K67" s="25" t="s">
        <v>58</v>
      </c>
      <c r="L67" s="27">
        <v>5.0999999999999996</v>
      </c>
      <c r="M67" s="40">
        <v>16.100000000000001</v>
      </c>
      <c r="N67" s="4">
        <v>39.200000000000003</v>
      </c>
      <c r="O67" s="43">
        <v>0.4</v>
      </c>
      <c r="P67" s="4">
        <v>288</v>
      </c>
      <c r="Q67" s="39">
        <v>7.35</v>
      </c>
      <c r="R67" s="4">
        <v>1.254</v>
      </c>
      <c r="S67" s="4">
        <v>8.7539999999999996</v>
      </c>
      <c r="T67" s="4">
        <v>30.6</v>
      </c>
      <c r="U67" s="4">
        <v>8.484</v>
      </c>
      <c r="V67" s="36">
        <v>16.0259</v>
      </c>
      <c r="W67" s="36">
        <v>19.486999999999998</v>
      </c>
      <c r="X67" s="4">
        <v>2.492</v>
      </c>
      <c r="Y67" s="39">
        <v>0.50175261328754028</v>
      </c>
      <c r="Z67" s="4">
        <v>4.5599999999999996</v>
      </c>
      <c r="AA67" s="4">
        <v>177</v>
      </c>
      <c r="AB67" s="4">
        <v>1180</v>
      </c>
    </row>
    <row r="68" spans="1:28" x14ac:dyDescent="0.25">
      <c r="A68" s="3">
        <v>98</v>
      </c>
      <c r="B68" s="25" t="s">
        <v>88</v>
      </c>
      <c r="C68" s="26">
        <v>45551</v>
      </c>
      <c r="D68" s="25" t="s">
        <v>53</v>
      </c>
      <c r="E68" s="25" t="s">
        <v>54</v>
      </c>
      <c r="F68" s="25" t="s">
        <v>57</v>
      </c>
      <c r="G68" s="27">
        <v>49.3</v>
      </c>
      <c r="H68" s="28">
        <v>0.36805555555555558</v>
      </c>
      <c r="I68" s="25" t="s">
        <v>80</v>
      </c>
      <c r="J68" s="3" t="s">
        <v>55</v>
      </c>
      <c r="K68" s="25" t="s">
        <v>75</v>
      </c>
      <c r="L68" s="27">
        <v>32.1</v>
      </c>
      <c r="M68" s="38">
        <v>13.9</v>
      </c>
      <c r="N68" s="4">
        <v>264</v>
      </c>
      <c r="O68" s="39">
        <v>2.36</v>
      </c>
      <c r="P68" s="4">
        <v>442</v>
      </c>
      <c r="Q68" s="39">
        <v>9.7799999999999994</v>
      </c>
      <c r="R68" s="4">
        <v>1.39</v>
      </c>
      <c r="S68" s="4">
        <v>8.6780000000000008</v>
      </c>
      <c r="T68" s="4">
        <v>32.200000000000003</v>
      </c>
      <c r="U68" s="4">
        <v>8.6219999999999999</v>
      </c>
      <c r="V68" s="36">
        <v>16.938400000000001</v>
      </c>
      <c r="W68" s="36">
        <v>20.439699999999998</v>
      </c>
      <c r="X68" s="4">
        <v>2.5739999999999998</v>
      </c>
      <c r="Y68" s="4">
        <v>0.94750999758475185</v>
      </c>
      <c r="Z68" s="4">
        <v>0.96</v>
      </c>
      <c r="AA68" s="4">
        <v>119</v>
      </c>
      <c r="AB68" s="4">
        <v>491</v>
      </c>
    </row>
    <row r="69" spans="1:28" x14ac:dyDescent="0.25">
      <c r="A69" s="3">
        <v>99</v>
      </c>
      <c r="B69" s="25" t="s">
        <v>88</v>
      </c>
      <c r="C69" s="26">
        <v>45551</v>
      </c>
      <c r="D69" s="25" t="s">
        <v>53</v>
      </c>
      <c r="E69" s="25" t="s">
        <v>54</v>
      </c>
      <c r="F69" s="25" t="s">
        <v>57</v>
      </c>
      <c r="G69" s="27">
        <v>49.3</v>
      </c>
      <c r="H69" s="28">
        <v>0.36805555555555558</v>
      </c>
      <c r="I69" s="25" t="s">
        <v>80</v>
      </c>
      <c r="J69" s="3" t="s">
        <v>55</v>
      </c>
      <c r="K69" s="25" t="s">
        <v>38</v>
      </c>
      <c r="L69" s="27">
        <v>48.3</v>
      </c>
      <c r="M69" s="3">
        <v>19.2</v>
      </c>
      <c r="N69" s="4">
        <v>251</v>
      </c>
      <c r="O69" s="43">
        <v>0.4</v>
      </c>
      <c r="P69" s="4">
        <v>414</v>
      </c>
      <c r="Q69" s="39">
        <v>4.43</v>
      </c>
      <c r="R69" s="4">
        <v>1.415</v>
      </c>
      <c r="S69" s="4">
        <v>8.2799999999999994</v>
      </c>
      <c r="T69" s="4">
        <v>31.58</v>
      </c>
      <c r="U69" s="4">
        <v>8.6760000000000002</v>
      </c>
      <c r="V69" s="36">
        <v>17.131399999999999</v>
      </c>
      <c r="W69" s="36">
        <v>20.781500000000001</v>
      </c>
      <c r="X69" s="4">
        <v>2.637</v>
      </c>
      <c r="Y69" s="4">
        <v>1.0617281286124081</v>
      </c>
      <c r="Z69" s="39">
        <v>0.18</v>
      </c>
      <c r="AA69" s="4">
        <v>57.2</v>
      </c>
      <c r="AB69" s="39">
        <v>119</v>
      </c>
    </row>
    <row r="70" spans="1:28" x14ac:dyDescent="0.25">
      <c r="A70" s="3">
        <v>24068</v>
      </c>
      <c r="B70" s="25" t="s">
        <v>87</v>
      </c>
      <c r="C70" s="26">
        <v>45434</v>
      </c>
      <c r="D70" s="25" t="s">
        <v>53</v>
      </c>
      <c r="E70" s="25" t="s">
        <v>54</v>
      </c>
      <c r="F70" s="25" t="s">
        <v>57</v>
      </c>
      <c r="G70" s="27">
        <v>33</v>
      </c>
      <c r="H70" s="28">
        <v>0.47986111111111113</v>
      </c>
      <c r="I70" s="25" t="s">
        <v>80</v>
      </c>
      <c r="J70" s="3" t="s">
        <v>95</v>
      </c>
      <c r="K70" s="25" t="s">
        <v>58</v>
      </c>
      <c r="L70" s="27">
        <v>5</v>
      </c>
      <c r="M70" s="38">
        <v>6</v>
      </c>
      <c r="N70" s="4">
        <v>104</v>
      </c>
      <c r="O70" s="39">
        <v>0.98399999999999999</v>
      </c>
      <c r="P70" s="4">
        <v>308.59765595639522</v>
      </c>
      <c r="Q70" s="39">
        <v>12.6</v>
      </c>
      <c r="R70" s="4">
        <v>1.3109999999999999</v>
      </c>
      <c r="S70" s="4">
        <v>9.3160000000000007</v>
      </c>
      <c r="T70" s="4">
        <v>30.2</v>
      </c>
      <c r="U70" s="4">
        <v>8.4160000000000004</v>
      </c>
      <c r="V70" s="36">
        <v>16.262499999999999</v>
      </c>
      <c r="W70" s="36">
        <v>19.482500000000002</v>
      </c>
      <c r="X70" s="4">
        <v>2.6491529277998866</v>
      </c>
      <c r="Y70" s="4">
        <v>0.55631406286982088</v>
      </c>
      <c r="Z70" s="4">
        <v>2.2799999999999998</v>
      </c>
      <c r="AA70" s="4">
        <v>99.4</v>
      </c>
      <c r="AB70" s="4">
        <v>1000</v>
      </c>
    </row>
    <row r="71" spans="1:28" x14ac:dyDescent="0.25">
      <c r="A71" s="3">
        <v>24069</v>
      </c>
      <c r="B71" s="25" t="s">
        <v>87</v>
      </c>
      <c r="C71" s="26">
        <v>45434</v>
      </c>
      <c r="D71" s="25" t="s">
        <v>53</v>
      </c>
      <c r="E71" s="25" t="s">
        <v>54</v>
      </c>
      <c r="F71" s="25" t="s">
        <v>57</v>
      </c>
      <c r="G71" s="27">
        <v>33</v>
      </c>
      <c r="H71" s="28">
        <v>0.47986111111111113</v>
      </c>
      <c r="I71" s="25" t="s">
        <v>80</v>
      </c>
      <c r="J71" s="3" t="s">
        <v>95</v>
      </c>
      <c r="K71" s="25" t="s">
        <v>75</v>
      </c>
      <c r="L71" s="27">
        <v>17.100000000000001</v>
      </c>
      <c r="M71" s="3">
        <v>33.1</v>
      </c>
      <c r="N71" s="4">
        <v>123</v>
      </c>
      <c r="O71" s="39">
        <v>0.88700000000000001</v>
      </c>
      <c r="P71" s="4">
        <v>322</v>
      </c>
      <c r="Q71" s="39">
        <v>5.85</v>
      </c>
      <c r="R71" s="4">
        <v>1.3620000000000001</v>
      </c>
      <c r="S71" s="4">
        <v>9.09</v>
      </c>
      <c r="T71" s="4">
        <v>31.93</v>
      </c>
      <c r="U71" s="4">
        <v>8.5280000000000005</v>
      </c>
      <c r="V71" s="36">
        <v>16.196100000000001</v>
      </c>
      <c r="W71" s="36">
        <v>19.430499999999999</v>
      </c>
      <c r="X71" s="4">
        <v>2.6546958499147242</v>
      </c>
      <c r="Y71" s="4">
        <v>0.51049173483089294</v>
      </c>
      <c r="Z71" s="4">
        <v>3.04</v>
      </c>
      <c r="AA71" s="4">
        <v>121</v>
      </c>
      <c r="AB71" s="4">
        <v>1050</v>
      </c>
    </row>
    <row r="72" spans="1:28" x14ac:dyDescent="0.25">
      <c r="A72" s="3">
        <v>24070</v>
      </c>
      <c r="B72" s="25" t="s">
        <v>87</v>
      </c>
      <c r="C72" s="26">
        <v>45434</v>
      </c>
      <c r="D72" s="25" t="s">
        <v>53</v>
      </c>
      <c r="E72" s="25" t="s">
        <v>54</v>
      </c>
      <c r="F72" s="25" t="s">
        <v>57</v>
      </c>
      <c r="G72" s="27">
        <v>33</v>
      </c>
      <c r="H72" s="28">
        <v>0.47986111111111113</v>
      </c>
      <c r="I72" s="25" t="s">
        <v>80</v>
      </c>
      <c r="J72" s="3" t="s">
        <v>95</v>
      </c>
      <c r="K72" s="25" t="s">
        <v>38</v>
      </c>
      <c r="L72" s="27">
        <v>32.1</v>
      </c>
      <c r="M72" s="3">
        <v>47.4</v>
      </c>
      <c r="N72" s="4">
        <v>125</v>
      </c>
      <c r="O72" s="39">
        <v>1.35</v>
      </c>
      <c r="P72" s="4">
        <v>318.50359874452153</v>
      </c>
      <c r="Q72" s="39">
        <v>3.77</v>
      </c>
      <c r="R72" s="4">
        <v>1.3380000000000001</v>
      </c>
      <c r="S72" s="4">
        <v>8.9879999999999995</v>
      </c>
      <c r="T72" s="4">
        <v>31.69</v>
      </c>
      <c r="U72" s="4">
        <v>8.3960000000000008</v>
      </c>
      <c r="V72" s="36">
        <v>15.8278</v>
      </c>
      <c r="W72" s="36">
        <v>19.127800000000001</v>
      </c>
      <c r="X72" s="7" t="s">
        <v>1</v>
      </c>
      <c r="Y72" s="4">
        <v>0.78712282632516162</v>
      </c>
      <c r="Z72" s="4">
        <v>1.21</v>
      </c>
      <c r="AA72" s="4">
        <v>56.4</v>
      </c>
      <c r="AB72" s="4">
        <v>485</v>
      </c>
    </row>
    <row r="73" spans="1:28" x14ac:dyDescent="0.25">
      <c r="A73" s="3">
        <v>24305</v>
      </c>
      <c r="B73" s="25" t="s">
        <v>87</v>
      </c>
      <c r="C73" s="26">
        <v>45505</v>
      </c>
      <c r="D73" s="33" t="s">
        <v>105</v>
      </c>
      <c r="E73" s="25" t="s">
        <v>54</v>
      </c>
      <c r="F73" s="25" t="s">
        <v>57</v>
      </c>
      <c r="G73" s="25">
        <v>32</v>
      </c>
      <c r="H73" s="28">
        <v>0.56666666666666665</v>
      </c>
      <c r="I73" s="25" t="s">
        <v>100</v>
      </c>
      <c r="J73" s="3" t="s">
        <v>55</v>
      </c>
      <c r="K73" s="25" t="s">
        <v>58</v>
      </c>
      <c r="L73" s="25">
        <v>2.06</v>
      </c>
      <c r="M73" s="38">
        <v>12.9</v>
      </c>
      <c r="N73" s="4">
        <v>24.5</v>
      </c>
      <c r="O73" s="43">
        <v>0.4</v>
      </c>
      <c r="P73" s="4">
        <v>253</v>
      </c>
      <c r="Q73" s="39">
        <v>7.61</v>
      </c>
      <c r="R73" s="4">
        <v>1.419</v>
      </c>
      <c r="S73" s="4">
        <v>8.5879999999999992</v>
      </c>
      <c r="T73" s="4">
        <v>28.2</v>
      </c>
      <c r="U73" s="4">
        <v>8.3940000000000001</v>
      </c>
      <c r="V73" s="36">
        <v>15.421900000000001</v>
      </c>
      <c r="W73" s="36">
        <v>18.613499999999998</v>
      </c>
      <c r="X73" s="4">
        <v>2.7240000000000002</v>
      </c>
      <c r="Y73" s="39">
        <v>0.29092734136979181</v>
      </c>
      <c r="Z73" s="4">
        <v>3.8</v>
      </c>
      <c r="AA73" s="4">
        <v>250</v>
      </c>
      <c r="AB73" s="4">
        <v>2520</v>
      </c>
    </row>
    <row r="74" spans="1:28" x14ac:dyDescent="0.25">
      <c r="A74" s="3">
        <v>24306</v>
      </c>
      <c r="B74" s="25" t="s">
        <v>87</v>
      </c>
      <c r="C74" s="26">
        <v>45505</v>
      </c>
      <c r="D74" s="33" t="s">
        <v>105</v>
      </c>
      <c r="E74" s="25" t="s">
        <v>54</v>
      </c>
      <c r="F74" s="25" t="s">
        <v>57</v>
      </c>
      <c r="G74" s="25">
        <v>32</v>
      </c>
      <c r="H74" s="28">
        <v>0.56666666666666665</v>
      </c>
      <c r="I74" s="25" t="s">
        <v>100</v>
      </c>
      <c r="J74" s="3" t="s">
        <v>55</v>
      </c>
      <c r="K74" s="25" t="s">
        <v>75</v>
      </c>
      <c r="L74" s="25">
        <v>20.02</v>
      </c>
      <c r="M74" s="3">
        <v>35.5</v>
      </c>
      <c r="N74" s="4">
        <v>156</v>
      </c>
      <c r="O74" s="43">
        <v>0.4</v>
      </c>
      <c r="P74" s="4">
        <v>375</v>
      </c>
      <c r="Q74" s="39">
        <v>3.33</v>
      </c>
      <c r="R74" s="4">
        <v>1.3180000000000001</v>
      </c>
      <c r="S74" s="4">
        <v>8.7159999999999993</v>
      </c>
      <c r="T74" s="4">
        <v>30.78</v>
      </c>
      <c r="U74" s="4">
        <v>8.4320000000000004</v>
      </c>
      <c r="V74" s="36">
        <v>15.352600000000001</v>
      </c>
      <c r="W74" s="36">
        <v>18.751300000000001</v>
      </c>
      <c r="X74" s="4">
        <v>2.4929999999999999</v>
      </c>
      <c r="Y74" s="4">
        <v>0.62900635888345924</v>
      </c>
      <c r="Z74" s="4">
        <v>2.12</v>
      </c>
      <c r="AA74" s="4">
        <v>167</v>
      </c>
      <c r="AB74" s="4">
        <v>1150</v>
      </c>
    </row>
    <row r="75" spans="1:28" x14ac:dyDescent="0.25">
      <c r="A75" s="3">
        <v>24307</v>
      </c>
      <c r="B75" s="25" t="s">
        <v>87</v>
      </c>
      <c r="C75" s="26">
        <v>45505</v>
      </c>
      <c r="D75" s="33" t="s">
        <v>105</v>
      </c>
      <c r="E75" s="25" t="s">
        <v>54</v>
      </c>
      <c r="F75" s="25" t="s">
        <v>57</v>
      </c>
      <c r="G75" s="25">
        <v>32</v>
      </c>
      <c r="H75" s="28">
        <v>0.56666666666666665</v>
      </c>
      <c r="I75" s="25" t="s">
        <v>100</v>
      </c>
      <c r="J75" s="3" t="s">
        <v>55</v>
      </c>
      <c r="K75" s="25" t="s">
        <v>38</v>
      </c>
      <c r="L75" s="25">
        <v>30.84</v>
      </c>
      <c r="M75" s="3">
        <v>32.9</v>
      </c>
      <c r="N75" s="4">
        <v>207</v>
      </c>
      <c r="O75" s="43">
        <v>0.4</v>
      </c>
      <c r="P75" s="4">
        <v>412</v>
      </c>
      <c r="Q75" s="43">
        <v>1.5</v>
      </c>
      <c r="R75" s="4">
        <v>1.3839999999999999</v>
      </c>
      <c r="S75" s="4">
        <v>9.49</v>
      </c>
      <c r="T75" s="4">
        <v>32.22</v>
      </c>
      <c r="U75" s="4">
        <v>8.5660000000000007</v>
      </c>
      <c r="V75" s="36">
        <v>15.587400000000001</v>
      </c>
      <c r="W75" s="36">
        <v>18.517499999999998</v>
      </c>
      <c r="X75" s="4">
        <v>2.3980000000000001</v>
      </c>
      <c r="Y75" s="4">
        <v>1.0461168350366852</v>
      </c>
      <c r="Z75" s="4">
        <v>0.61</v>
      </c>
      <c r="AA75" s="4">
        <v>107</v>
      </c>
      <c r="AB75" s="4">
        <v>545</v>
      </c>
    </row>
    <row r="76" spans="1:28" x14ac:dyDescent="0.25">
      <c r="A76" s="3">
        <v>88</v>
      </c>
      <c r="B76" s="25" t="s">
        <v>87</v>
      </c>
      <c r="C76" s="26">
        <v>45551</v>
      </c>
      <c r="D76" s="25" t="s">
        <v>53</v>
      </c>
      <c r="E76" s="25" t="s">
        <v>54</v>
      </c>
      <c r="F76" s="25" t="s">
        <v>57</v>
      </c>
      <c r="G76" s="27">
        <v>32.6</v>
      </c>
      <c r="H76" s="28">
        <v>9.8611111111111108E-2</v>
      </c>
      <c r="I76" s="25" t="s">
        <v>80</v>
      </c>
      <c r="J76" s="3" t="s">
        <v>55</v>
      </c>
      <c r="K76" s="25" t="s">
        <v>58</v>
      </c>
      <c r="L76" s="27">
        <v>5</v>
      </c>
      <c r="M76" s="38">
        <v>13</v>
      </c>
      <c r="N76" s="4">
        <v>24.8</v>
      </c>
      <c r="O76" s="43">
        <v>0.4</v>
      </c>
      <c r="P76" s="4">
        <v>264</v>
      </c>
      <c r="Q76" s="39">
        <v>9.8699999999999992</v>
      </c>
      <c r="R76" s="24" t="s">
        <v>52</v>
      </c>
      <c r="S76" s="24" t="s">
        <v>52</v>
      </c>
      <c r="T76" s="24" t="s">
        <v>52</v>
      </c>
      <c r="U76" s="24" t="s">
        <v>52</v>
      </c>
      <c r="V76" s="36">
        <v>16.281099999999999</v>
      </c>
      <c r="W76" s="36">
        <v>19.834700000000002</v>
      </c>
      <c r="X76" s="4">
        <v>2.5030000000000001</v>
      </c>
      <c r="Y76" s="4">
        <v>0.63966155675853154</v>
      </c>
      <c r="Z76" s="4">
        <v>5.04</v>
      </c>
      <c r="AA76" s="6">
        <v>196</v>
      </c>
      <c r="AB76" s="4">
        <v>1430</v>
      </c>
    </row>
    <row r="77" spans="1:28" x14ac:dyDescent="0.25">
      <c r="A77" s="3">
        <v>89</v>
      </c>
      <c r="B77" s="25" t="s">
        <v>87</v>
      </c>
      <c r="C77" s="26">
        <v>45551</v>
      </c>
      <c r="D77" s="25" t="s">
        <v>53</v>
      </c>
      <c r="E77" s="25" t="s">
        <v>54</v>
      </c>
      <c r="F77" s="25" t="s">
        <v>57</v>
      </c>
      <c r="G77" s="27">
        <v>32.6</v>
      </c>
      <c r="H77" s="28">
        <v>9.8611111111111108E-2</v>
      </c>
      <c r="I77" s="25" t="s">
        <v>80</v>
      </c>
      <c r="J77" s="3" t="s">
        <v>55</v>
      </c>
      <c r="K77" s="25" t="s">
        <v>75</v>
      </c>
      <c r="L77" s="27">
        <v>16.7</v>
      </c>
      <c r="M77" s="3">
        <v>30.6</v>
      </c>
      <c r="N77" s="4">
        <v>161</v>
      </c>
      <c r="O77" s="43">
        <v>0.4</v>
      </c>
      <c r="P77" s="4">
        <v>379</v>
      </c>
      <c r="Q77" s="39">
        <v>7.88</v>
      </c>
      <c r="R77" s="4">
        <v>1.2769999999999999</v>
      </c>
      <c r="S77" s="4">
        <v>9.0039999999999996</v>
      </c>
      <c r="T77" s="4">
        <v>31.36</v>
      </c>
      <c r="U77" s="4">
        <v>8.2420000000000009</v>
      </c>
      <c r="V77" s="36">
        <v>16.520499999999998</v>
      </c>
      <c r="W77" s="36">
        <v>19.8413</v>
      </c>
      <c r="X77" s="4">
        <v>2.7639999999999998</v>
      </c>
      <c r="Y77" s="4">
        <v>0.98166765155388691</v>
      </c>
      <c r="Z77" s="4">
        <v>2.12</v>
      </c>
      <c r="AA77" s="4">
        <v>98.9</v>
      </c>
      <c r="AB77" s="4">
        <v>627</v>
      </c>
    </row>
    <row r="78" spans="1:28" x14ac:dyDescent="0.25">
      <c r="A78" s="3">
        <v>90</v>
      </c>
      <c r="B78" s="25" t="s">
        <v>87</v>
      </c>
      <c r="C78" s="26">
        <v>45551</v>
      </c>
      <c r="D78" s="25" t="s">
        <v>53</v>
      </c>
      <c r="E78" s="25" t="s">
        <v>54</v>
      </c>
      <c r="F78" s="25" t="s">
        <v>57</v>
      </c>
      <c r="G78" s="27">
        <v>32.6</v>
      </c>
      <c r="H78" s="28">
        <v>9.8611111111111108E-2</v>
      </c>
      <c r="I78" s="25" t="s">
        <v>80</v>
      </c>
      <c r="J78" s="3" t="s">
        <v>55</v>
      </c>
      <c r="K78" s="25" t="s">
        <v>38</v>
      </c>
      <c r="L78" s="27">
        <v>31.6</v>
      </c>
      <c r="M78" s="3">
        <v>23.1</v>
      </c>
      <c r="N78" s="4">
        <v>231</v>
      </c>
      <c r="O78" s="43">
        <v>0.4</v>
      </c>
      <c r="P78" s="4">
        <v>424</v>
      </c>
      <c r="Q78" s="39">
        <v>5.91</v>
      </c>
      <c r="R78" s="4">
        <v>1.39</v>
      </c>
      <c r="S78" s="4">
        <v>8.5939999999999994</v>
      </c>
      <c r="T78" s="4">
        <v>32.26</v>
      </c>
      <c r="U78" s="4">
        <v>8.532</v>
      </c>
      <c r="V78" s="36">
        <v>16.243500000000001</v>
      </c>
      <c r="W78" s="36">
        <v>19.519200000000001</v>
      </c>
      <c r="X78" s="4">
        <v>2.528</v>
      </c>
      <c r="Y78" s="4">
        <v>1.0243647190153056</v>
      </c>
      <c r="Z78" s="4">
        <v>0.56999999999999995</v>
      </c>
      <c r="AA78" s="4">
        <v>71.099999999999994</v>
      </c>
      <c r="AB78" s="4">
        <v>228</v>
      </c>
    </row>
    <row r="79" spans="1:28" x14ac:dyDescent="0.25">
      <c r="A79" s="3">
        <v>24072</v>
      </c>
      <c r="B79" s="25" t="s">
        <v>86</v>
      </c>
      <c r="C79" s="26">
        <v>45434</v>
      </c>
      <c r="D79" s="25" t="s">
        <v>53</v>
      </c>
      <c r="E79" s="25" t="s">
        <v>54</v>
      </c>
      <c r="F79" s="25" t="s">
        <v>57</v>
      </c>
      <c r="G79" s="27">
        <v>62.7</v>
      </c>
      <c r="H79" s="28">
        <v>0.27638888888888885</v>
      </c>
      <c r="I79" s="25" t="s">
        <v>80</v>
      </c>
      <c r="J79" s="3" t="s">
        <v>95</v>
      </c>
      <c r="K79" s="25" t="s">
        <v>58</v>
      </c>
      <c r="L79" s="27">
        <v>5</v>
      </c>
      <c r="M79" s="38">
        <v>13.5</v>
      </c>
      <c r="N79" s="4">
        <v>92.3</v>
      </c>
      <c r="O79" s="39">
        <v>1.1299999999999999</v>
      </c>
      <c r="P79" s="4">
        <v>295</v>
      </c>
      <c r="Q79" s="39">
        <v>6.31</v>
      </c>
      <c r="R79" s="4">
        <v>1.31</v>
      </c>
      <c r="S79" s="4">
        <v>8.8320000000000007</v>
      </c>
      <c r="T79" s="4">
        <v>30.18</v>
      </c>
      <c r="U79" s="4">
        <v>8.5299999999999994</v>
      </c>
      <c r="V79" s="36">
        <v>15.904500000000001</v>
      </c>
      <c r="W79" s="36">
        <v>19.443000000000001</v>
      </c>
      <c r="X79" s="4">
        <v>2.6886637053488802</v>
      </c>
      <c r="Y79" s="39">
        <v>0.41460427060128446</v>
      </c>
      <c r="Z79" s="4">
        <v>2.76</v>
      </c>
      <c r="AA79" s="4">
        <v>242</v>
      </c>
      <c r="AB79" s="4">
        <v>1200</v>
      </c>
    </row>
    <row r="80" spans="1:28" x14ac:dyDescent="0.25">
      <c r="A80" s="3">
        <v>24073</v>
      </c>
      <c r="B80" s="25" t="s">
        <v>86</v>
      </c>
      <c r="C80" s="26">
        <v>45434</v>
      </c>
      <c r="D80" s="25" t="s">
        <v>53</v>
      </c>
      <c r="E80" s="25" t="s">
        <v>54</v>
      </c>
      <c r="F80" s="25" t="s">
        <v>57</v>
      </c>
      <c r="G80" s="27">
        <v>62.7</v>
      </c>
      <c r="H80" s="28">
        <v>0.27638888888888885</v>
      </c>
      <c r="I80" s="25" t="s">
        <v>80</v>
      </c>
      <c r="J80" s="3" t="s">
        <v>95</v>
      </c>
      <c r="K80" s="25" t="s">
        <v>75</v>
      </c>
      <c r="L80" s="27">
        <v>15</v>
      </c>
      <c r="M80" s="38">
        <v>10.4</v>
      </c>
      <c r="N80" s="4">
        <v>88.6</v>
      </c>
      <c r="O80" s="39">
        <v>0.94599999999999995</v>
      </c>
      <c r="P80" s="4">
        <v>287.13477991545483</v>
      </c>
      <c r="Q80" s="39">
        <v>5.07</v>
      </c>
      <c r="R80" s="4">
        <v>1.3029999999999999</v>
      </c>
      <c r="S80" s="4">
        <v>9.02</v>
      </c>
      <c r="T80" s="4">
        <v>30.98</v>
      </c>
      <c r="U80" s="4">
        <v>8.5380000000000003</v>
      </c>
      <c r="V80" s="36">
        <v>16.019100000000002</v>
      </c>
      <c r="W80" s="36">
        <v>19.584</v>
      </c>
      <c r="X80" s="7" t="s">
        <v>1</v>
      </c>
      <c r="Y80" s="39">
        <v>0.4731550230954702</v>
      </c>
      <c r="Z80" s="4">
        <v>2.4</v>
      </c>
      <c r="AA80" s="4">
        <v>119</v>
      </c>
      <c r="AB80" s="4">
        <v>1100</v>
      </c>
    </row>
    <row r="81" spans="1:28" x14ac:dyDescent="0.25">
      <c r="A81" s="3">
        <v>24074</v>
      </c>
      <c r="B81" s="25" t="s">
        <v>86</v>
      </c>
      <c r="C81" s="26">
        <v>45434</v>
      </c>
      <c r="D81" s="25" t="s">
        <v>53</v>
      </c>
      <c r="E81" s="25" t="s">
        <v>54</v>
      </c>
      <c r="F81" s="25" t="s">
        <v>57</v>
      </c>
      <c r="G81" s="27">
        <v>62.7</v>
      </c>
      <c r="H81" s="28">
        <v>0.27638888888888885</v>
      </c>
      <c r="I81" s="25" t="s">
        <v>80</v>
      </c>
      <c r="J81" s="3" t="s">
        <v>95</v>
      </c>
      <c r="K81" s="25" t="s">
        <v>38</v>
      </c>
      <c r="L81" s="27">
        <v>61.7</v>
      </c>
      <c r="M81" s="3">
        <v>40</v>
      </c>
      <c r="N81" s="4">
        <v>158</v>
      </c>
      <c r="O81" s="4">
        <v>6.48</v>
      </c>
      <c r="P81" s="4">
        <v>342</v>
      </c>
      <c r="Q81" s="39">
        <v>10.5</v>
      </c>
      <c r="R81" s="4">
        <v>1.331</v>
      </c>
      <c r="S81" s="4">
        <v>8.9179999999999993</v>
      </c>
      <c r="T81" s="4">
        <v>31.42</v>
      </c>
      <c r="U81" s="4">
        <v>8.6039999999999992</v>
      </c>
      <c r="V81" s="36">
        <v>15.901199999999999</v>
      </c>
      <c r="W81" s="36">
        <v>19.483899999999998</v>
      </c>
      <c r="X81" s="4">
        <v>2.5606329816768461</v>
      </c>
      <c r="Y81" s="4">
        <v>0.63013892471031585</v>
      </c>
      <c r="Z81" s="39">
        <v>0.18</v>
      </c>
      <c r="AA81" s="4">
        <v>38.6</v>
      </c>
      <c r="AB81" s="4">
        <v>152</v>
      </c>
    </row>
    <row r="82" spans="1:28" x14ac:dyDescent="0.25">
      <c r="A82" s="3">
        <v>24297</v>
      </c>
      <c r="B82" s="25" t="s">
        <v>86</v>
      </c>
      <c r="C82" s="26">
        <v>45505</v>
      </c>
      <c r="D82" s="33" t="s">
        <v>105</v>
      </c>
      <c r="E82" s="25" t="s">
        <v>54</v>
      </c>
      <c r="F82" s="25" t="s">
        <v>57</v>
      </c>
      <c r="G82" s="25">
        <v>62</v>
      </c>
      <c r="H82" s="28">
        <v>0.65138888888888891</v>
      </c>
      <c r="I82" s="25" t="s">
        <v>100</v>
      </c>
      <c r="J82" s="3" t="s">
        <v>55</v>
      </c>
      <c r="K82" s="25" t="s">
        <v>58</v>
      </c>
      <c r="L82" s="25">
        <v>5.17</v>
      </c>
      <c r="M82" s="38">
        <v>6.65</v>
      </c>
      <c r="N82" s="4">
        <v>21.7</v>
      </c>
      <c r="O82" s="43">
        <v>0.4</v>
      </c>
      <c r="P82" s="4">
        <v>234</v>
      </c>
      <c r="Q82" s="39">
        <v>3.44</v>
      </c>
      <c r="R82" s="4">
        <v>1.3240000000000001</v>
      </c>
      <c r="S82" s="4">
        <v>9.0619999999999994</v>
      </c>
      <c r="T82" s="4">
        <v>31.32</v>
      </c>
      <c r="U82" s="4">
        <v>8.4540000000000006</v>
      </c>
      <c r="V82" s="36">
        <v>15.400700000000001</v>
      </c>
      <c r="W82" s="36">
        <v>18.522500000000001</v>
      </c>
      <c r="X82" s="4">
        <v>2.7890000000000001</v>
      </c>
      <c r="Y82" s="39">
        <v>0.20223648222984272</v>
      </c>
      <c r="Z82" s="4">
        <v>3</v>
      </c>
      <c r="AA82" s="4">
        <v>198</v>
      </c>
      <c r="AB82" s="4">
        <v>1720</v>
      </c>
    </row>
    <row r="83" spans="1:28" x14ac:dyDescent="0.25">
      <c r="A83" s="3">
        <v>24298</v>
      </c>
      <c r="B83" s="25" t="s">
        <v>86</v>
      </c>
      <c r="C83" s="26">
        <v>45505</v>
      </c>
      <c r="D83" s="33" t="s">
        <v>105</v>
      </c>
      <c r="E83" s="25" t="s">
        <v>54</v>
      </c>
      <c r="F83" s="25" t="s">
        <v>57</v>
      </c>
      <c r="G83" s="25">
        <v>62</v>
      </c>
      <c r="H83" s="28">
        <v>0.65138888888888891</v>
      </c>
      <c r="I83" s="25" t="s">
        <v>100</v>
      </c>
      <c r="J83" s="3" t="s">
        <v>55</v>
      </c>
      <c r="K83" s="25" t="s">
        <v>75</v>
      </c>
      <c r="L83" s="25">
        <v>22.56</v>
      </c>
      <c r="M83" s="3">
        <v>67.7</v>
      </c>
      <c r="N83" s="4">
        <v>139</v>
      </c>
      <c r="O83" s="43">
        <v>0.4</v>
      </c>
      <c r="P83" s="4">
        <v>386</v>
      </c>
      <c r="Q83" s="43">
        <v>1.5</v>
      </c>
      <c r="R83" s="4">
        <v>1.4450000000000001</v>
      </c>
      <c r="S83" s="4">
        <v>8.99</v>
      </c>
      <c r="T83" s="4">
        <v>29.58</v>
      </c>
      <c r="U83" s="4">
        <v>8.5500000000000007</v>
      </c>
      <c r="V83" s="36">
        <v>15.3833</v>
      </c>
      <c r="W83" s="36">
        <v>18.3552</v>
      </c>
      <c r="X83" s="4">
        <v>2.6629999999999998</v>
      </c>
      <c r="Y83" s="39">
        <v>0.45074651328534365</v>
      </c>
      <c r="Z83" s="4">
        <v>4.5999999999999996</v>
      </c>
      <c r="AA83" s="4">
        <v>148</v>
      </c>
      <c r="AB83" s="4">
        <v>1020</v>
      </c>
    </row>
    <row r="84" spans="1:28" x14ac:dyDescent="0.25">
      <c r="A84" s="45">
        <v>24299</v>
      </c>
      <c r="B84" s="25" t="s">
        <v>86</v>
      </c>
      <c r="C84" s="26">
        <v>45505</v>
      </c>
      <c r="D84" s="33" t="s">
        <v>105</v>
      </c>
      <c r="E84" s="25" t="s">
        <v>54</v>
      </c>
      <c r="F84" s="25" t="s">
        <v>57</v>
      </c>
      <c r="G84" s="25">
        <v>62</v>
      </c>
      <c r="H84" s="28">
        <v>0.65138888888888891</v>
      </c>
      <c r="I84" s="25" t="s">
        <v>100</v>
      </c>
      <c r="J84" s="3" t="s">
        <v>55</v>
      </c>
      <c r="K84" s="25" t="s">
        <v>38</v>
      </c>
      <c r="L84" s="25">
        <v>55.16</v>
      </c>
      <c r="M84" s="3">
        <v>54</v>
      </c>
      <c r="N84" s="4">
        <v>187</v>
      </c>
      <c r="O84" s="39">
        <v>1.81</v>
      </c>
      <c r="P84" s="4">
        <v>420</v>
      </c>
      <c r="Q84" s="39">
        <v>10.4</v>
      </c>
      <c r="R84" s="4">
        <v>1.4570000000000001</v>
      </c>
      <c r="S84" s="4">
        <v>8.7439999999999998</v>
      </c>
      <c r="T84" s="4">
        <v>29.18</v>
      </c>
      <c r="U84" s="4">
        <v>8.39</v>
      </c>
      <c r="V84" s="36">
        <v>16.316299999999998</v>
      </c>
      <c r="W84" s="36">
        <v>19.7956</v>
      </c>
      <c r="X84" s="4">
        <v>2.577</v>
      </c>
      <c r="Y84" s="4">
        <v>0.77916613029862047</v>
      </c>
      <c r="Z84" s="39">
        <v>0.18</v>
      </c>
      <c r="AA84" s="4">
        <v>73.2</v>
      </c>
      <c r="AB84" s="4">
        <v>378</v>
      </c>
    </row>
    <row r="85" spans="1:28" x14ac:dyDescent="0.25">
      <c r="A85" s="3">
        <v>82</v>
      </c>
      <c r="B85" s="25" t="s">
        <v>86</v>
      </c>
      <c r="C85" s="26">
        <v>45550</v>
      </c>
      <c r="D85" s="25" t="s">
        <v>53</v>
      </c>
      <c r="E85" s="25" t="s">
        <v>54</v>
      </c>
      <c r="F85" s="25" t="s">
        <v>57</v>
      </c>
      <c r="G85" s="27">
        <v>62.6</v>
      </c>
      <c r="H85" s="28">
        <v>0.86319444444444438</v>
      </c>
      <c r="I85" s="25" t="s">
        <v>80</v>
      </c>
      <c r="J85" s="3" t="s">
        <v>55</v>
      </c>
      <c r="K85" s="25" t="s">
        <v>58</v>
      </c>
      <c r="L85" s="27">
        <v>5</v>
      </c>
      <c r="M85" s="38">
        <v>7.27</v>
      </c>
      <c r="N85" s="4">
        <v>33.799999999999997</v>
      </c>
      <c r="O85" s="43">
        <v>0.4</v>
      </c>
      <c r="P85" s="4">
        <v>265</v>
      </c>
      <c r="Q85" s="39">
        <v>7.68</v>
      </c>
      <c r="R85" s="4">
        <v>1.333</v>
      </c>
      <c r="S85" s="4">
        <v>9.0039999999999996</v>
      </c>
      <c r="T85" s="4">
        <v>31.22</v>
      </c>
      <c r="U85" s="4">
        <v>8.4120000000000008</v>
      </c>
      <c r="V85" s="36">
        <v>16.711600000000001</v>
      </c>
      <c r="W85" s="36">
        <v>20.0716</v>
      </c>
      <c r="X85" s="4">
        <v>2.4740000000000002</v>
      </c>
      <c r="Y85" s="39">
        <v>0.315849348797764</v>
      </c>
      <c r="Z85" s="4">
        <v>4.84</v>
      </c>
      <c r="AA85" s="4">
        <v>165</v>
      </c>
      <c r="AB85" s="4">
        <v>1320</v>
      </c>
    </row>
    <row r="86" spans="1:28" x14ac:dyDescent="0.25">
      <c r="A86" s="3">
        <v>83</v>
      </c>
      <c r="B86" s="25" t="s">
        <v>86</v>
      </c>
      <c r="C86" s="26">
        <v>45550</v>
      </c>
      <c r="D86" s="25" t="s">
        <v>53</v>
      </c>
      <c r="E86" s="25" t="s">
        <v>54</v>
      </c>
      <c r="F86" s="25" t="s">
        <v>57</v>
      </c>
      <c r="G86" s="27">
        <v>62.6</v>
      </c>
      <c r="H86" s="28">
        <v>0.86319444444444438</v>
      </c>
      <c r="I86" s="25" t="s">
        <v>80</v>
      </c>
      <c r="J86" s="3" t="s">
        <v>55</v>
      </c>
      <c r="K86" s="25" t="s">
        <v>75</v>
      </c>
      <c r="L86" s="27">
        <v>31.3</v>
      </c>
      <c r="M86" s="38">
        <v>11.1</v>
      </c>
      <c r="N86" s="4">
        <v>245</v>
      </c>
      <c r="O86" s="43">
        <v>0.4</v>
      </c>
      <c r="P86" s="4">
        <v>447</v>
      </c>
      <c r="Q86" s="39">
        <v>4.5199999999999996</v>
      </c>
      <c r="R86" s="24" t="s">
        <v>52</v>
      </c>
      <c r="S86" s="24" t="s">
        <v>52</v>
      </c>
      <c r="T86" s="24" t="s">
        <v>52</v>
      </c>
      <c r="U86" s="24" t="s">
        <v>52</v>
      </c>
      <c r="V86" s="36">
        <v>16.120200000000001</v>
      </c>
      <c r="W86" s="36">
        <v>19.3565</v>
      </c>
      <c r="X86" s="4">
        <v>2.5379999999999998</v>
      </c>
      <c r="Y86" s="4">
        <v>0.95604941107703567</v>
      </c>
      <c r="Z86" s="4">
        <v>0.81</v>
      </c>
      <c r="AA86" s="6">
        <v>63.5</v>
      </c>
      <c r="AB86" s="6">
        <v>290</v>
      </c>
    </row>
    <row r="87" spans="1:28" x14ac:dyDescent="0.25">
      <c r="A87" s="3">
        <v>84</v>
      </c>
      <c r="B87" s="25" t="s">
        <v>86</v>
      </c>
      <c r="C87" s="26">
        <v>45550</v>
      </c>
      <c r="D87" s="25" t="s">
        <v>53</v>
      </c>
      <c r="E87" s="25" t="s">
        <v>54</v>
      </c>
      <c r="F87" s="25" t="s">
        <v>57</v>
      </c>
      <c r="G87" s="27">
        <v>62.6</v>
      </c>
      <c r="H87" s="28">
        <v>0.86319444444444438</v>
      </c>
      <c r="I87" s="25" t="s">
        <v>80</v>
      </c>
      <c r="J87" s="3" t="s">
        <v>55</v>
      </c>
      <c r="K87" s="25" t="s">
        <v>38</v>
      </c>
      <c r="L87" s="27">
        <v>61.4</v>
      </c>
      <c r="M87" s="40">
        <v>12</v>
      </c>
      <c r="N87" s="4">
        <v>247</v>
      </c>
      <c r="O87" s="43">
        <v>0.4</v>
      </c>
      <c r="P87" s="4">
        <v>421</v>
      </c>
      <c r="Q87" s="39">
        <v>5.33</v>
      </c>
      <c r="R87" s="4">
        <v>1.3089999999999999</v>
      </c>
      <c r="S87" s="4">
        <v>8.2759999999999998</v>
      </c>
      <c r="T87" s="4">
        <v>32.06</v>
      </c>
      <c r="U87" s="4">
        <v>8.5820000000000007</v>
      </c>
      <c r="V87" s="36">
        <v>16.721599999999999</v>
      </c>
      <c r="W87" s="36">
        <v>20.055199999999999</v>
      </c>
      <c r="X87" s="4">
        <v>2.444</v>
      </c>
      <c r="Y87" s="4">
        <v>1.0414435459998732</v>
      </c>
      <c r="Z87" s="39">
        <v>0.12</v>
      </c>
      <c r="AA87" s="4">
        <v>44.3</v>
      </c>
      <c r="AB87" s="39">
        <v>90.6</v>
      </c>
    </row>
    <row r="88" spans="1:28" x14ac:dyDescent="0.25">
      <c r="A88" s="3">
        <v>24024</v>
      </c>
      <c r="B88" s="25" t="s">
        <v>82</v>
      </c>
      <c r="C88" s="26">
        <v>45433</v>
      </c>
      <c r="D88" s="25" t="s">
        <v>53</v>
      </c>
      <c r="E88" s="25" t="s">
        <v>54</v>
      </c>
      <c r="F88" s="25" t="s">
        <v>57</v>
      </c>
      <c r="G88" s="27">
        <v>21</v>
      </c>
      <c r="H88" s="28">
        <v>0.96875</v>
      </c>
      <c r="I88" s="25" t="s">
        <v>68</v>
      </c>
      <c r="J88" s="3" t="s">
        <v>95</v>
      </c>
      <c r="K88" s="25" t="s">
        <v>58</v>
      </c>
      <c r="L88" s="27">
        <v>5</v>
      </c>
      <c r="M88" s="38">
        <v>12.3</v>
      </c>
      <c r="N88" s="4">
        <v>19.8</v>
      </c>
      <c r="O88" s="43">
        <v>0.4</v>
      </c>
      <c r="P88" s="4">
        <v>228</v>
      </c>
      <c r="Q88" s="39">
        <v>7.24</v>
      </c>
      <c r="R88" s="4">
        <v>1.234</v>
      </c>
      <c r="S88" s="4">
        <v>8.048</v>
      </c>
      <c r="T88" s="4">
        <v>31.36</v>
      </c>
      <c r="U88" s="4">
        <v>8.42</v>
      </c>
      <c r="V88" s="36">
        <v>14.581799999999999</v>
      </c>
      <c r="W88" s="36">
        <v>18.744199999999999</v>
      </c>
      <c r="X88" s="4">
        <v>3.0661512222853893</v>
      </c>
      <c r="Y88" s="4">
        <v>0.5172802278736971</v>
      </c>
      <c r="Z88" s="4">
        <v>2.64</v>
      </c>
      <c r="AA88" s="4">
        <v>29.7</v>
      </c>
      <c r="AB88" s="4">
        <v>179</v>
      </c>
    </row>
    <row r="89" spans="1:28" x14ac:dyDescent="0.25">
      <c r="A89" s="3">
        <v>24026</v>
      </c>
      <c r="B89" s="25" t="s">
        <v>82</v>
      </c>
      <c r="C89" s="26">
        <v>45433</v>
      </c>
      <c r="D89" s="25" t="s">
        <v>53</v>
      </c>
      <c r="E89" s="25" t="s">
        <v>54</v>
      </c>
      <c r="F89" s="25" t="s">
        <v>57</v>
      </c>
      <c r="G89" s="27">
        <v>21</v>
      </c>
      <c r="H89" s="28">
        <v>0.96875</v>
      </c>
      <c r="I89" s="25" t="s">
        <v>68</v>
      </c>
      <c r="J89" s="3" t="s">
        <v>95</v>
      </c>
      <c r="K89" s="25" t="s">
        <v>38</v>
      </c>
      <c r="L89" s="27">
        <v>19.7</v>
      </c>
      <c r="M89" s="3">
        <v>20.6</v>
      </c>
      <c r="N89" s="4">
        <v>34.4</v>
      </c>
      <c r="O89" s="43">
        <v>0.4</v>
      </c>
      <c r="P89" s="4">
        <v>233.47758981310378</v>
      </c>
      <c r="Q89" s="39">
        <v>10.1</v>
      </c>
      <c r="R89" s="4">
        <v>1.2709999999999999</v>
      </c>
      <c r="S89" s="4">
        <v>8.3439999999999994</v>
      </c>
      <c r="T89" s="4">
        <v>31.11</v>
      </c>
      <c r="U89" s="4">
        <v>8.5139999999999993</v>
      </c>
      <c r="V89" s="36">
        <v>14.841799999999999</v>
      </c>
      <c r="W89" s="36">
        <v>18.9514</v>
      </c>
      <c r="X89" s="7" t="s">
        <v>1</v>
      </c>
      <c r="Y89" s="4">
        <v>0.86349337305670815</v>
      </c>
      <c r="Z89" s="4">
        <v>6.76</v>
      </c>
      <c r="AA89" s="4">
        <v>103</v>
      </c>
      <c r="AB89" s="4">
        <v>855</v>
      </c>
    </row>
    <row r="90" spans="1:28" x14ac:dyDescent="0.25">
      <c r="A90" s="45">
        <v>24269</v>
      </c>
      <c r="B90" s="25" t="s">
        <v>82</v>
      </c>
      <c r="C90" s="26">
        <v>45501</v>
      </c>
      <c r="D90" s="33" t="s">
        <v>105</v>
      </c>
      <c r="E90" s="25" t="s">
        <v>54</v>
      </c>
      <c r="F90" s="25" t="s">
        <v>57</v>
      </c>
      <c r="G90" s="25">
        <v>20</v>
      </c>
      <c r="H90" s="28">
        <v>0.63680555555555551</v>
      </c>
      <c r="I90" s="25" t="s">
        <v>100</v>
      </c>
      <c r="J90" s="3" t="s">
        <v>95</v>
      </c>
      <c r="K90" s="25" t="s">
        <v>58</v>
      </c>
      <c r="L90" s="25">
        <v>2.04</v>
      </c>
      <c r="M90" s="38">
        <v>8.9700000000000006</v>
      </c>
      <c r="N90" s="4">
        <v>26.4</v>
      </c>
      <c r="O90" s="43">
        <v>0.4</v>
      </c>
      <c r="P90" s="4">
        <v>263</v>
      </c>
      <c r="Q90" s="39">
        <v>5.97</v>
      </c>
      <c r="R90" s="4">
        <v>1.2769999999999999</v>
      </c>
      <c r="S90" s="4">
        <v>8.298</v>
      </c>
      <c r="T90" s="4">
        <v>30.6</v>
      </c>
      <c r="U90" s="4">
        <v>8.4179999999999993</v>
      </c>
      <c r="V90" s="36">
        <v>14.234</v>
      </c>
      <c r="W90" s="36">
        <v>17.811499999999999</v>
      </c>
      <c r="X90" s="4">
        <v>2.8780000000000001</v>
      </c>
      <c r="Y90" s="39">
        <v>0.24789910277714325</v>
      </c>
      <c r="Z90" s="4">
        <v>4.24</v>
      </c>
      <c r="AA90" s="6">
        <v>290</v>
      </c>
      <c r="AB90" s="6">
        <v>2890</v>
      </c>
    </row>
    <row r="91" spans="1:28" x14ac:dyDescent="0.25">
      <c r="A91" s="3">
        <v>24270</v>
      </c>
      <c r="B91" s="25" t="s">
        <v>82</v>
      </c>
      <c r="C91" s="26">
        <v>45501</v>
      </c>
      <c r="D91" s="33" t="s">
        <v>105</v>
      </c>
      <c r="E91" s="25" t="s">
        <v>54</v>
      </c>
      <c r="F91" s="25" t="s">
        <v>57</v>
      </c>
      <c r="G91" s="25">
        <v>20</v>
      </c>
      <c r="H91" s="28">
        <v>0.63680555555555551</v>
      </c>
      <c r="I91" s="25" t="s">
        <v>100</v>
      </c>
      <c r="J91" s="3" t="s">
        <v>95</v>
      </c>
      <c r="K91" s="25" t="s">
        <v>75</v>
      </c>
      <c r="L91" s="25">
        <v>10.07</v>
      </c>
      <c r="M91" s="38">
        <v>14.7</v>
      </c>
      <c r="N91" s="4">
        <v>30</v>
      </c>
      <c r="O91" s="43">
        <v>0.4</v>
      </c>
      <c r="P91" s="4">
        <v>308</v>
      </c>
      <c r="Q91" s="39">
        <v>14.6</v>
      </c>
      <c r="R91" s="4">
        <v>1.292</v>
      </c>
      <c r="S91" s="4">
        <v>8.1660000000000004</v>
      </c>
      <c r="T91" s="4">
        <v>30.04</v>
      </c>
      <c r="U91" s="4">
        <v>8.2620000000000005</v>
      </c>
      <c r="V91" s="36">
        <v>14.101900000000001</v>
      </c>
      <c r="W91" s="36">
        <v>17.583400000000001</v>
      </c>
      <c r="X91" s="4">
        <v>2.556</v>
      </c>
      <c r="Y91" s="39">
        <v>0.33834621655352698</v>
      </c>
      <c r="Z91" s="4">
        <v>5.2</v>
      </c>
      <c r="AA91" s="6">
        <v>271</v>
      </c>
      <c r="AB91" s="6">
        <v>2320</v>
      </c>
    </row>
    <row r="92" spans="1:28" x14ac:dyDescent="0.25">
      <c r="A92" s="45">
        <v>24271</v>
      </c>
      <c r="B92" s="25" t="s">
        <v>82</v>
      </c>
      <c r="C92" s="26">
        <v>45501</v>
      </c>
      <c r="D92" s="33" t="s">
        <v>105</v>
      </c>
      <c r="E92" s="25" t="s">
        <v>54</v>
      </c>
      <c r="F92" s="25" t="s">
        <v>57</v>
      </c>
      <c r="G92" s="25">
        <v>20</v>
      </c>
      <c r="H92" s="28">
        <v>0.63680555555555551</v>
      </c>
      <c r="I92" s="25" t="s">
        <v>100</v>
      </c>
      <c r="J92" s="3" t="s">
        <v>95</v>
      </c>
      <c r="K92" s="25" t="s">
        <v>38</v>
      </c>
      <c r="L92" s="25">
        <v>19.899999999999999</v>
      </c>
      <c r="M92" s="3">
        <v>44.5</v>
      </c>
      <c r="N92" s="4">
        <v>119</v>
      </c>
      <c r="O92" s="39">
        <v>1.22</v>
      </c>
      <c r="P92" s="4">
        <v>376</v>
      </c>
      <c r="Q92" s="39">
        <v>14</v>
      </c>
      <c r="R92" s="4">
        <v>1.353</v>
      </c>
      <c r="S92" s="4">
        <v>8.3559999999999999</v>
      </c>
      <c r="T92" s="4">
        <v>30.42</v>
      </c>
      <c r="U92" s="4">
        <v>8.3719999999999999</v>
      </c>
      <c r="V92" s="36">
        <v>14.433199999999999</v>
      </c>
      <c r="W92" s="36">
        <v>17.968599999999999</v>
      </c>
      <c r="X92" s="4">
        <v>2.4319999999999999</v>
      </c>
      <c r="Y92" s="4">
        <v>2.0823070705331199</v>
      </c>
      <c r="Z92" s="4">
        <v>2.04</v>
      </c>
      <c r="AA92" s="6">
        <v>250</v>
      </c>
      <c r="AB92" s="6">
        <v>1500</v>
      </c>
    </row>
    <row r="93" spans="1:28" x14ac:dyDescent="0.25">
      <c r="A93" s="3">
        <v>58</v>
      </c>
      <c r="B93" s="25" t="s">
        <v>82</v>
      </c>
      <c r="C93" s="26">
        <v>45549</v>
      </c>
      <c r="D93" s="25" t="s">
        <v>53</v>
      </c>
      <c r="E93" s="25" t="s">
        <v>54</v>
      </c>
      <c r="F93" s="25" t="s">
        <v>57</v>
      </c>
      <c r="G93" s="27">
        <v>20.2</v>
      </c>
      <c r="H93" s="28">
        <v>0.98819444444444438</v>
      </c>
      <c r="I93" s="25" t="s">
        <v>68</v>
      </c>
      <c r="J93" s="3" t="s">
        <v>55</v>
      </c>
      <c r="K93" s="25" t="s">
        <v>58</v>
      </c>
      <c r="L93" s="27">
        <v>5</v>
      </c>
      <c r="M93" s="5">
        <v>16.3</v>
      </c>
      <c r="N93" s="39">
        <v>3.57</v>
      </c>
      <c r="O93" s="43">
        <v>0.4</v>
      </c>
      <c r="P93" s="4">
        <v>296</v>
      </c>
      <c r="Q93" s="4">
        <v>22</v>
      </c>
      <c r="R93" s="4">
        <v>1.3109999999999999</v>
      </c>
      <c r="S93" s="4">
        <v>7.8760000000000003</v>
      </c>
      <c r="T93" s="4">
        <v>29.96</v>
      </c>
      <c r="U93" s="4">
        <v>8.4440000000000008</v>
      </c>
      <c r="V93" s="36">
        <v>15.6617</v>
      </c>
      <c r="W93" s="36">
        <v>19.3672</v>
      </c>
      <c r="X93" s="4">
        <v>2.6339999999999999</v>
      </c>
      <c r="Y93" s="4">
        <v>1.1012194404458593</v>
      </c>
      <c r="Z93" s="4">
        <v>5.6</v>
      </c>
      <c r="AA93" s="4">
        <v>269</v>
      </c>
      <c r="AB93" s="4">
        <v>1740.0389624286147</v>
      </c>
    </row>
    <row r="94" spans="1:28" x14ac:dyDescent="0.25">
      <c r="A94" s="3">
        <v>59</v>
      </c>
      <c r="B94" s="25" t="s">
        <v>82</v>
      </c>
      <c r="C94" s="26">
        <v>45549</v>
      </c>
      <c r="D94" s="25" t="s">
        <v>53</v>
      </c>
      <c r="E94" s="25" t="s">
        <v>54</v>
      </c>
      <c r="F94" s="25" t="s">
        <v>57</v>
      </c>
      <c r="G94" s="27">
        <v>20.2</v>
      </c>
      <c r="H94" s="28">
        <v>0.98819444444444438</v>
      </c>
      <c r="I94" s="25" t="s">
        <v>68</v>
      </c>
      <c r="J94" s="3" t="s">
        <v>55</v>
      </c>
      <c r="K94" s="25" t="s">
        <v>75</v>
      </c>
      <c r="L94" s="27">
        <v>10.5</v>
      </c>
      <c r="M94" s="5">
        <v>17</v>
      </c>
      <c r="N94" s="43">
        <v>0.88</v>
      </c>
      <c r="O94" s="43">
        <v>0.4</v>
      </c>
      <c r="P94" s="4">
        <v>277</v>
      </c>
      <c r="Q94" s="4">
        <v>18.600000000000001</v>
      </c>
      <c r="R94" s="24" t="s">
        <v>52</v>
      </c>
      <c r="S94" s="24" t="s">
        <v>52</v>
      </c>
      <c r="T94" s="24" t="s">
        <v>52</v>
      </c>
      <c r="U94" s="24" t="s">
        <v>52</v>
      </c>
      <c r="V94" s="36">
        <v>15.7081</v>
      </c>
      <c r="W94" s="36">
        <v>19.3187</v>
      </c>
      <c r="X94" s="4">
        <v>2.395</v>
      </c>
      <c r="Y94" s="4">
        <v>1.1268376809227107</v>
      </c>
      <c r="Z94" s="4">
        <v>5.6</v>
      </c>
      <c r="AA94" s="4">
        <v>276</v>
      </c>
      <c r="AB94" s="4">
        <v>1808.0801347576364</v>
      </c>
    </row>
    <row r="95" spans="1:28" x14ac:dyDescent="0.25">
      <c r="A95" s="3">
        <v>60</v>
      </c>
      <c r="B95" s="25" t="s">
        <v>82</v>
      </c>
      <c r="C95" s="26">
        <v>45549</v>
      </c>
      <c r="D95" s="25" t="s">
        <v>53</v>
      </c>
      <c r="E95" s="25" t="s">
        <v>54</v>
      </c>
      <c r="F95" s="25" t="s">
        <v>57</v>
      </c>
      <c r="G95" s="27">
        <v>20.2</v>
      </c>
      <c r="H95" s="28">
        <v>0.98819444444444438</v>
      </c>
      <c r="I95" s="25" t="s">
        <v>68</v>
      </c>
      <c r="J95" s="3" t="s">
        <v>55</v>
      </c>
      <c r="K95" s="25" t="s">
        <v>38</v>
      </c>
      <c r="L95" s="27">
        <v>19.899999999999999</v>
      </c>
      <c r="M95" s="5">
        <v>44.5</v>
      </c>
      <c r="N95" s="39">
        <v>7.42</v>
      </c>
      <c r="O95" s="43">
        <v>0.4</v>
      </c>
      <c r="P95" s="4">
        <v>290</v>
      </c>
      <c r="Q95" s="39">
        <v>14.1</v>
      </c>
      <c r="R95" s="4">
        <v>1.367</v>
      </c>
      <c r="S95" s="4">
        <v>7.9980000000000002</v>
      </c>
      <c r="T95" s="4">
        <v>30.34</v>
      </c>
      <c r="U95" s="4">
        <v>8.6059999999999999</v>
      </c>
      <c r="V95" s="36">
        <v>15.4793</v>
      </c>
      <c r="W95" s="36">
        <v>19.2926</v>
      </c>
      <c r="X95" s="4">
        <v>2.56</v>
      </c>
      <c r="Y95" s="4">
        <v>1.4940324610909119</v>
      </c>
      <c r="Z95" s="4">
        <v>4.2</v>
      </c>
      <c r="AA95" s="6">
        <v>217</v>
      </c>
      <c r="AB95" s="6">
        <v>1100</v>
      </c>
    </row>
    <row r="96" spans="1:28" x14ac:dyDescent="0.25">
      <c r="A96" s="3">
        <v>116</v>
      </c>
      <c r="B96" s="25" t="s">
        <v>82</v>
      </c>
      <c r="C96" s="26">
        <v>45549</v>
      </c>
      <c r="D96" s="25" t="s">
        <v>53</v>
      </c>
      <c r="E96" s="25" t="s">
        <v>54</v>
      </c>
      <c r="F96" s="25" t="s">
        <v>57</v>
      </c>
      <c r="G96" s="27">
        <v>20.2</v>
      </c>
      <c r="H96" s="28">
        <v>0.98819444444444438</v>
      </c>
      <c r="I96" s="25" t="s">
        <v>68</v>
      </c>
      <c r="J96" s="3" t="s">
        <v>55</v>
      </c>
      <c r="K96" s="25" t="s">
        <v>69</v>
      </c>
      <c r="L96" s="27"/>
      <c r="M96" s="41">
        <v>4.43</v>
      </c>
      <c r="N96" s="43">
        <v>0.88</v>
      </c>
      <c r="O96" s="43">
        <v>0.4</v>
      </c>
      <c r="P96" s="43">
        <v>8.5</v>
      </c>
      <c r="Q96" s="43">
        <v>1.5</v>
      </c>
      <c r="R96" s="43">
        <v>0.03</v>
      </c>
      <c r="S96" s="43">
        <v>0.03</v>
      </c>
      <c r="T96" s="43">
        <v>0.18</v>
      </c>
      <c r="U96" s="39">
        <v>5.6000000000000001E-2</v>
      </c>
      <c r="V96" s="46">
        <v>0.08</v>
      </c>
      <c r="W96" s="46">
        <v>0.08</v>
      </c>
      <c r="X96" s="39">
        <v>0.45090000000000002</v>
      </c>
      <c r="Y96" s="43">
        <v>0.05</v>
      </c>
      <c r="Z96" s="43">
        <v>0.05</v>
      </c>
      <c r="AA96" s="6">
        <v>61.9</v>
      </c>
      <c r="AB96" s="44">
        <v>14.38</v>
      </c>
    </row>
    <row r="97" spans="1:29" x14ac:dyDescent="0.25">
      <c r="A97" s="3">
        <v>24028</v>
      </c>
      <c r="B97" s="25" t="s">
        <v>83</v>
      </c>
      <c r="C97" s="26">
        <v>45435</v>
      </c>
      <c r="D97" s="25" t="s">
        <v>53</v>
      </c>
      <c r="E97" s="25" t="s">
        <v>54</v>
      </c>
      <c r="F97" s="25" t="s">
        <v>57</v>
      </c>
      <c r="G97" s="27">
        <v>22</v>
      </c>
      <c r="H97" s="28">
        <v>0.27083333333333331</v>
      </c>
      <c r="I97" s="25" t="s">
        <v>113</v>
      </c>
      <c r="J97" s="25" t="s">
        <v>113</v>
      </c>
      <c r="K97" s="25" t="s">
        <v>58</v>
      </c>
      <c r="L97" s="27">
        <v>5</v>
      </c>
      <c r="M97" s="38">
        <v>13.8</v>
      </c>
      <c r="N97" s="4">
        <v>24.9</v>
      </c>
      <c r="O97" s="43">
        <v>0.4</v>
      </c>
      <c r="P97" s="4">
        <v>251</v>
      </c>
      <c r="Q97" s="39">
        <v>10.199999999999999</v>
      </c>
      <c r="R97" s="4">
        <v>1.2370000000000001</v>
      </c>
      <c r="S97" s="4">
        <v>8.8759999999999994</v>
      </c>
      <c r="T97" s="4">
        <v>32.1</v>
      </c>
      <c r="U97" s="4">
        <v>8.3079999999999998</v>
      </c>
      <c r="V97" s="36">
        <v>15.679500000000001</v>
      </c>
      <c r="W97" s="36">
        <v>19.115300000000001</v>
      </c>
      <c r="X97" s="4">
        <v>2.5495280399777904</v>
      </c>
      <c r="Y97" s="39">
        <v>0.42224132527443914</v>
      </c>
      <c r="Z97" s="4">
        <v>1.37</v>
      </c>
      <c r="AA97" s="4">
        <v>117</v>
      </c>
      <c r="AB97" s="4">
        <v>914</v>
      </c>
    </row>
    <row r="98" spans="1:29" x14ac:dyDescent="0.25">
      <c r="A98" s="3">
        <v>24030</v>
      </c>
      <c r="B98" s="25" t="s">
        <v>83</v>
      </c>
      <c r="C98" s="26">
        <v>45435</v>
      </c>
      <c r="D98" s="25" t="s">
        <v>53</v>
      </c>
      <c r="E98" s="25" t="s">
        <v>54</v>
      </c>
      <c r="F98" s="25" t="s">
        <v>57</v>
      </c>
      <c r="G98" s="27">
        <v>22</v>
      </c>
      <c r="H98" s="28">
        <v>0.27083333333333331</v>
      </c>
      <c r="I98" s="25" t="s">
        <v>113</v>
      </c>
      <c r="J98" s="25" t="s">
        <v>113</v>
      </c>
      <c r="K98" s="25" t="s">
        <v>38</v>
      </c>
      <c r="L98" s="27">
        <v>21</v>
      </c>
      <c r="M98" s="3">
        <v>19.7</v>
      </c>
      <c r="N98" s="4">
        <v>40.799999999999997</v>
      </c>
      <c r="O98" s="39">
        <v>0.97599999999999998</v>
      </c>
      <c r="P98" s="4">
        <v>233</v>
      </c>
      <c r="Q98" s="39">
        <v>7.6</v>
      </c>
      <c r="R98" s="4">
        <v>1.228</v>
      </c>
      <c r="S98" s="4">
        <v>8.3620000000000001</v>
      </c>
      <c r="T98" s="4">
        <v>29.76</v>
      </c>
      <c r="U98" s="4">
        <v>8.3520000000000003</v>
      </c>
      <c r="V98" s="36">
        <v>15.1099</v>
      </c>
      <c r="W98" s="36">
        <v>18.9894</v>
      </c>
      <c r="X98" s="4">
        <v>2.6047751249305939</v>
      </c>
      <c r="Y98" s="4">
        <v>1.0586625480373273</v>
      </c>
      <c r="Z98" s="4">
        <v>2.84</v>
      </c>
      <c r="AA98" s="4">
        <v>124</v>
      </c>
      <c r="AB98" s="4">
        <v>775</v>
      </c>
    </row>
    <row r="99" spans="1:29" x14ac:dyDescent="0.25">
      <c r="A99" s="45">
        <v>24273</v>
      </c>
      <c r="B99" s="33" t="s">
        <v>83</v>
      </c>
      <c r="C99" s="26">
        <v>45501</v>
      </c>
      <c r="D99" s="33" t="s">
        <v>105</v>
      </c>
      <c r="E99" s="25" t="s">
        <v>54</v>
      </c>
      <c r="F99" s="25" t="s">
        <v>57</v>
      </c>
      <c r="G99" s="25">
        <v>21</v>
      </c>
      <c r="H99" s="28">
        <v>0.57152777777777775</v>
      </c>
      <c r="I99" s="33" t="s">
        <v>80</v>
      </c>
      <c r="J99" s="49" t="s">
        <v>95</v>
      </c>
      <c r="K99" s="33" t="s">
        <v>58</v>
      </c>
      <c r="L99" s="25">
        <v>2.1800000000000002</v>
      </c>
      <c r="M99" s="38">
        <v>15.2</v>
      </c>
      <c r="N99" s="4">
        <v>34.1</v>
      </c>
      <c r="O99" s="43">
        <v>0.4</v>
      </c>
      <c r="P99" s="4">
        <v>283</v>
      </c>
      <c r="Q99" s="39">
        <v>9.57</v>
      </c>
      <c r="R99" s="4">
        <v>1.39</v>
      </c>
      <c r="S99" s="4">
        <v>8.0259999999999998</v>
      </c>
      <c r="T99" s="4">
        <v>27.12</v>
      </c>
      <c r="U99" s="4">
        <v>8.1959999999999997</v>
      </c>
      <c r="V99" s="36">
        <v>14.3813</v>
      </c>
      <c r="W99" s="36">
        <v>18.061699999999998</v>
      </c>
      <c r="X99" s="4">
        <v>2.7789999999999999</v>
      </c>
      <c r="Y99" s="39">
        <v>0.3876177537283827</v>
      </c>
      <c r="Z99" s="4">
        <v>4.04</v>
      </c>
      <c r="AA99" s="4">
        <v>288</v>
      </c>
      <c r="AB99" s="4">
        <v>3210</v>
      </c>
    </row>
    <row r="100" spans="1:29" x14ac:dyDescent="0.25">
      <c r="A100" s="3">
        <v>24274</v>
      </c>
      <c r="B100" s="33" t="s">
        <v>83</v>
      </c>
      <c r="C100" s="26">
        <v>45501</v>
      </c>
      <c r="D100" s="33" t="s">
        <v>105</v>
      </c>
      <c r="E100" s="25" t="s">
        <v>54</v>
      </c>
      <c r="F100" s="25" t="s">
        <v>57</v>
      </c>
      <c r="G100" s="25">
        <v>21</v>
      </c>
      <c r="H100" s="28">
        <v>0.57152777777777775</v>
      </c>
      <c r="I100" s="33" t="s">
        <v>80</v>
      </c>
      <c r="J100" s="49" t="s">
        <v>95</v>
      </c>
      <c r="K100" s="33" t="s">
        <v>75</v>
      </c>
      <c r="L100" s="25">
        <v>10.52</v>
      </c>
      <c r="M100" s="3">
        <v>35.5</v>
      </c>
      <c r="N100" s="4">
        <v>112</v>
      </c>
      <c r="O100" s="4">
        <v>8.31</v>
      </c>
      <c r="P100" s="4">
        <v>366</v>
      </c>
      <c r="Q100" s="39">
        <v>12.5</v>
      </c>
      <c r="R100" s="4">
        <v>1.3009999999999999</v>
      </c>
      <c r="S100" s="4">
        <v>8.1240000000000006</v>
      </c>
      <c r="T100" s="4">
        <v>29.26</v>
      </c>
      <c r="U100" s="4">
        <v>8.3079999999999998</v>
      </c>
      <c r="V100" s="36">
        <v>14.568199999999999</v>
      </c>
      <c r="W100" s="36">
        <v>18.177900000000001</v>
      </c>
      <c r="X100" s="4">
        <v>2.7669999999999999</v>
      </c>
      <c r="Y100" s="4">
        <v>1.6939736006202388</v>
      </c>
      <c r="Z100" s="4">
        <v>3.72</v>
      </c>
      <c r="AA100" s="6">
        <v>265</v>
      </c>
      <c r="AB100" s="6">
        <v>2100</v>
      </c>
    </row>
    <row r="101" spans="1:29" x14ac:dyDescent="0.25">
      <c r="A101" s="3">
        <v>24275</v>
      </c>
      <c r="B101" s="33" t="s">
        <v>83</v>
      </c>
      <c r="C101" s="26">
        <v>45501</v>
      </c>
      <c r="D101" s="33" t="s">
        <v>105</v>
      </c>
      <c r="E101" s="25" t="s">
        <v>54</v>
      </c>
      <c r="F101" s="25" t="s">
        <v>57</v>
      </c>
      <c r="G101" s="25">
        <v>21</v>
      </c>
      <c r="H101" s="28">
        <v>0.57152777777777775</v>
      </c>
      <c r="I101" s="33" t="s">
        <v>80</v>
      </c>
      <c r="J101" s="49" t="s">
        <v>95</v>
      </c>
      <c r="K101" s="33" t="s">
        <v>38</v>
      </c>
      <c r="L101" s="25">
        <v>20.64</v>
      </c>
      <c r="M101" s="3">
        <v>39.700000000000003</v>
      </c>
      <c r="N101" s="4">
        <v>155</v>
      </c>
      <c r="O101" s="43">
        <v>0.4</v>
      </c>
      <c r="P101" s="4">
        <v>382</v>
      </c>
      <c r="Q101" s="39">
        <v>10.9</v>
      </c>
      <c r="R101" s="4">
        <v>1.3140000000000001</v>
      </c>
      <c r="S101" s="4">
        <v>8.2959999999999994</v>
      </c>
      <c r="T101" s="4">
        <v>30.9</v>
      </c>
      <c r="U101" s="4">
        <v>8.4420000000000002</v>
      </c>
      <c r="V101" s="36">
        <v>14.6234</v>
      </c>
      <c r="W101" s="36">
        <v>18.148900000000001</v>
      </c>
      <c r="X101" s="4">
        <v>2.6520000000000001</v>
      </c>
      <c r="Y101" s="4">
        <v>3.3258504270188296</v>
      </c>
      <c r="Z101" s="4">
        <v>2.4</v>
      </c>
      <c r="AA101" s="6">
        <v>253</v>
      </c>
      <c r="AB101" s="6">
        <v>1600</v>
      </c>
    </row>
    <row r="102" spans="1:29" x14ac:dyDescent="0.25">
      <c r="A102" s="3">
        <v>64</v>
      </c>
      <c r="B102" s="25" t="s">
        <v>83</v>
      </c>
      <c r="C102" s="26">
        <v>45550</v>
      </c>
      <c r="D102" s="25" t="s">
        <v>53</v>
      </c>
      <c r="E102" s="25" t="s">
        <v>54</v>
      </c>
      <c r="F102" s="25" t="s">
        <v>57</v>
      </c>
      <c r="G102" s="27">
        <v>21.3</v>
      </c>
      <c r="H102" s="28">
        <v>0.19166666666666665</v>
      </c>
      <c r="I102" s="25" t="s">
        <v>68</v>
      </c>
      <c r="J102" s="3" t="s">
        <v>55</v>
      </c>
      <c r="K102" s="25" t="s">
        <v>58</v>
      </c>
      <c r="L102" s="27">
        <v>5</v>
      </c>
      <c r="M102" s="38">
        <v>11.4</v>
      </c>
      <c r="N102" s="39">
        <v>4.25</v>
      </c>
      <c r="O102" s="43">
        <v>0.4</v>
      </c>
      <c r="P102" s="4">
        <v>259</v>
      </c>
      <c r="Q102" s="4">
        <v>19</v>
      </c>
      <c r="R102" s="4">
        <v>1.3260000000000001</v>
      </c>
      <c r="S102" s="4">
        <v>7.76</v>
      </c>
      <c r="T102" s="4">
        <v>30.18</v>
      </c>
      <c r="U102" s="4">
        <v>8.4559999999999995</v>
      </c>
      <c r="V102" s="36">
        <v>15.152699999999999</v>
      </c>
      <c r="W102" s="36">
        <v>18.968800000000002</v>
      </c>
      <c r="X102" s="4">
        <v>2.427</v>
      </c>
      <c r="Y102" s="4">
        <v>1.5708871825214654</v>
      </c>
      <c r="Z102" s="4">
        <v>6.48</v>
      </c>
      <c r="AA102" s="4">
        <v>332</v>
      </c>
      <c r="AB102" s="4">
        <v>1840</v>
      </c>
    </row>
    <row r="103" spans="1:29" x14ac:dyDescent="0.25">
      <c r="A103" s="3">
        <v>65</v>
      </c>
      <c r="B103" s="25" t="s">
        <v>83</v>
      </c>
      <c r="C103" s="26">
        <v>45550</v>
      </c>
      <c r="D103" s="25" t="s">
        <v>53</v>
      </c>
      <c r="E103" s="25" t="s">
        <v>54</v>
      </c>
      <c r="F103" s="25" t="s">
        <v>57</v>
      </c>
      <c r="G103" s="27">
        <v>21.3</v>
      </c>
      <c r="H103" s="28">
        <v>0.19166666666666665</v>
      </c>
      <c r="I103" s="25" t="s">
        <v>68</v>
      </c>
      <c r="J103" s="3" t="s">
        <v>55</v>
      </c>
      <c r="K103" s="25" t="s">
        <v>75</v>
      </c>
      <c r="L103" s="27">
        <v>11</v>
      </c>
      <c r="M103" s="38">
        <v>15.5</v>
      </c>
      <c r="N103" s="4">
        <v>10.5</v>
      </c>
      <c r="O103" s="39">
        <v>0.83799999999999997</v>
      </c>
      <c r="P103" s="4">
        <v>249</v>
      </c>
      <c r="Q103" s="4">
        <v>17.100000000000001</v>
      </c>
      <c r="R103" s="4">
        <v>1.234</v>
      </c>
      <c r="S103" s="4">
        <v>8.2119999999999997</v>
      </c>
      <c r="T103" s="4">
        <v>29.98</v>
      </c>
      <c r="U103" s="4">
        <v>8.3040000000000003</v>
      </c>
      <c r="V103" s="36">
        <v>14.6099</v>
      </c>
      <c r="W103" s="36">
        <v>18.2182</v>
      </c>
      <c r="X103" s="4">
        <v>2.5129999999999999</v>
      </c>
      <c r="Y103" s="4">
        <v>1.4854930475986281</v>
      </c>
      <c r="Z103" s="4">
        <v>5.8</v>
      </c>
      <c r="AA103" s="4">
        <v>279</v>
      </c>
      <c r="AB103" s="4">
        <v>1460</v>
      </c>
    </row>
    <row r="104" spans="1:29" x14ac:dyDescent="0.25">
      <c r="A104" s="3">
        <v>66</v>
      </c>
      <c r="B104" s="25" t="s">
        <v>83</v>
      </c>
      <c r="C104" s="26">
        <v>45550</v>
      </c>
      <c r="D104" s="25" t="s">
        <v>53</v>
      </c>
      <c r="E104" s="25" t="s">
        <v>54</v>
      </c>
      <c r="F104" s="25" t="s">
        <v>57</v>
      </c>
      <c r="G104" s="27">
        <v>21.3</v>
      </c>
      <c r="H104" s="28">
        <v>0.19166666666666665</v>
      </c>
      <c r="I104" s="25" t="s">
        <v>68</v>
      </c>
      <c r="J104" s="3" t="s">
        <v>55</v>
      </c>
      <c r="K104" s="25" t="s">
        <v>38</v>
      </c>
      <c r="L104" s="27">
        <v>21</v>
      </c>
      <c r="M104" s="3">
        <v>67.7</v>
      </c>
      <c r="N104" s="4">
        <v>22.9</v>
      </c>
      <c r="O104" s="39">
        <v>3.87</v>
      </c>
      <c r="P104" s="4">
        <v>281</v>
      </c>
      <c r="Q104" s="4">
        <v>19.3</v>
      </c>
      <c r="R104" s="4">
        <v>1.2689999999999999</v>
      </c>
      <c r="S104" s="4">
        <v>7.4020000000000001</v>
      </c>
      <c r="T104" s="4">
        <v>30.6</v>
      </c>
      <c r="U104" s="4">
        <v>8.4819999999999993</v>
      </c>
      <c r="V104" s="36">
        <v>15.58</v>
      </c>
      <c r="W104" s="36">
        <v>18.9925</v>
      </c>
      <c r="X104" s="4">
        <v>2.448</v>
      </c>
      <c r="Y104" s="4">
        <v>2.3992102912729889</v>
      </c>
      <c r="Z104" s="4">
        <v>3.04</v>
      </c>
      <c r="AA104" s="4">
        <v>259</v>
      </c>
      <c r="AB104" s="4">
        <v>999</v>
      </c>
    </row>
    <row r="105" spans="1:29" x14ac:dyDescent="0.25">
      <c r="A105" s="3">
        <v>24032</v>
      </c>
      <c r="B105" s="25" t="s">
        <v>85</v>
      </c>
      <c r="C105" s="26">
        <v>45435</v>
      </c>
      <c r="D105" s="25" t="s">
        <v>53</v>
      </c>
      <c r="E105" s="25" t="s">
        <v>54</v>
      </c>
      <c r="F105" s="25" t="s">
        <v>57</v>
      </c>
      <c r="G105" s="27">
        <v>21.4</v>
      </c>
      <c r="H105" s="28">
        <v>0.30902777777777779</v>
      </c>
      <c r="I105" s="25" t="s">
        <v>113</v>
      </c>
      <c r="J105" s="25" t="s">
        <v>113</v>
      </c>
      <c r="K105" s="25" t="s">
        <v>58</v>
      </c>
      <c r="L105" s="25" t="s">
        <v>113</v>
      </c>
      <c r="M105" s="3">
        <v>21.9</v>
      </c>
      <c r="N105" s="4">
        <v>292</v>
      </c>
      <c r="O105" s="43">
        <v>0.4</v>
      </c>
      <c r="P105" s="4">
        <v>506</v>
      </c>
      <c r="Q105" s="39">
        <v>11.6</v>
      </c>
      <c r="R105" s="4">
        <v>1.2689999999999999</v>
      </c>
      <c r="S105" s="4">
        <v>8.6620000000000008</v>
      </c>
      <c r="T105" s="4">
        <v>29.06</v>
      </c>
      <c r="U105" s="4">
        <v>8.2780000000000005</v>
      </c>
      <c r="V105" s="36">
        <v>15.491300000000001</v>
      </c>
      <c r="W105" s="36">
        <v>18.782499999999999</v>
      </c>
      <c r="X105" s="4">
        <v>2.669461410327596</v>
      </c>
      <c r="Y105" s="39">
        <v>0.25677180735608823</v>
      </c>
      <c r="Z105" s="4">
        <v>1.74</v>
      </c>
      <c r="AA105" s="4">
        <v>153</v>
      </c>
      <c r="AB105" s="4">
        <v>1170</v>
      </c>
    </row>
    <row r="106" spans="1:29" x14ac:dyDescent="0.25">
      <c r="A106" s="3">
        <v>24034</v>
      </c>
      <c r="B106" s="25" t="s">
        <v>85</v>
      </c>
      <c r="C106" s="26">
        <v>45435</v>
      </c>
      <c r="D106" s="25" t="s">
        <v>53</v>
      </c>
      <c r="E106" s="25" t="s">
        <v>54</v>
      </c>
      <c r="F106" s="25" t="s">
        <v>57</v>
      </c>
      <c r="G106" s="27">
        <v>21.4</v>
      </c>
      <c r="H106" s="28">
        <v>0.30902777777777779</v>
      </c>
      <c r="I106" s="25" t="s">
        <v>113</v>
      </c>
      <c r="J106" s="25" t="s">
        <v>113</v>
      </c>
      <c r="K106" s="25" t="s">
        <v>38</v>
      </c>
      <c r="L106" s="25" t="s">
        <v>113</v>
      </c>
      <c r="M106" s="3">
        <v>37.4</v>
      </c>
      <c r="N106" s="4">
        <v>401</v>
      </c>
      <c r="O106" s="39">
        <v>0.90300000000000002</v>
      </c>
      <c r="P106" s="4">
        <v>579</v>
      </c>
      <c r="Q106" s="39">
        <v>8.4700000000000006</v>
      </c>
      <c r="R106" s="4">
        <v>1.2390000000000001</v>
      </c>
      <c r="S106" s="4">
        <v>8.81</v>
      </c>
      <c r="T106" s="4">
        <v>27.3</v>
      </c>
      <c r="U106" s="4">
        <v>8.2479999999999993</v>
      </c>
      <c r="V106" s="36">
        <v>15.236800000000001</v>
      </c>
      <c r="W106" s="36">
        <v>18.984200000000001</v>
      </c>
      <c r="X106" s="4">
        <v>2.2762076624097722</v>
      </c>
      <c r="Y106" s="4">
        <v>0.95683515239526507</v>
      </c>
      <c r="Z106" s="4">
        <v>4.88</v>
      </c>
      <c r="AA106" s="6">
        <v>143</v>
      </c>
      <c r="AB106" s="6">
        <v>930</v>
      </c>
    </row>
    <row r="107" spans="1:29" x14ac:dyDescent="0.25">
      <c r="A107" s="3">
        <v>70</v>
      </c>
      <c r="B107" s="25" t="s">
        <v>85</v>
      </c>
      <c r="C107" s="26">
        <v>45550</v>
      </c>
      <c r="D107" s="25" t="s">
        <v>53</v>
      </c>
      <c r="E107" s="25" t="s">
        <v>54</v>
      </c>
      <c r="F107" s="25" t="s">
        <v>57</v>
      </c>
      <c r="G107" s="27">
        <v>22.5</v>
      </c>
      <c r="H107" s="28">
        <v>0.32569444444444445</v>
      </c>
      <c r="I107" s="25" t="s">
        <v>68</v>
      </c>
      <c r="J107" s="3" t="s">
        <v>55</v>
      </c>
      <c r="K107" s="25" t="s">
        <v>58</v>
      </c>
      <c r="L107" s="27">
        <v>5.0999999999999996</v>
      </c>
      <c r="M107" s="38">
        <v>16</v>
      </c>
      <c r="N107" s="39">
        <v>4.5199999999999996</v>
      </c>
      <c r="O107" s="43">
        <v>0.4</v>
      </c>
      <c r="P107" s="4">
        <v>226</v>
      </c>
      <c r="Q107" s="39">
        <v>12.1</v>
      </c>
      <c r="R107" s="4">
        <v>1.377</v>
      </c>
      <c r="S107" s="4">
        <v>7.7380000000000004</v>
      </c>
      <c r="T107" s="4">
        <v>30.88</v>
      </c>
      <c r="U107" s="4">
        <v>8.5540000000000003</v>
      </c>
      <c r="V107" s="36">
        <v>15.628299999999999</v>
      </c>
      <c r="W107" s="36">
        <v>19.3108</v>
      </c>
      <c r="X107" s="4">
        <v>2.4790000000000001</v>
      </c>
      <c r="Y107" s="4">
        <v>1.4034824378058302</v>
      </c>
      <c r="Z107" s="4">
        <v>4.68</v>
      </c>
      <c r="AA107" s="4">
        <v>234</v>
      </c>
      <c r="AB107" s="4">
        <v>1310</v>
      </c>
    </row>
    <row r="108" spans="1:29" x14ac:dyDescent="0.25">
      <c r="A108" s="3">
        <v>71</v>
      </c>
      <c r="B108" s="25" t="s">
        <v>85</v>
      </c>
      <c r="C108" s="26">
        <v>45550</v>
      </c>
      <c r="D108" s="25" t="s">
        <v>53</v>
      </c>
      <c r="E108" s="25" t="s">
        <v>54</v>
      </c>
      <c r="F108" s="25" t="s">
        <v>57</v>
      </c>
      <c r="G108" s="27">
        <v>22.5</v>
      </c>
      <c r="H108" s="28">
        <v>0.32569444444444445</v>
      </c>
      <c r="I108" s="25" t="s">
        <v>68</v>
      </c>
      <c r="J108" s="3" t="s">
        <v>55</v>
      </c>
      <c r="K108" s="25" t="s">
        <v>75</v>
      </c>
      <c r="L108" s="27">
        <v>11.3</v>
      </c>
      <c r="M108" s="40">
        <v>10.1</v>
      </c>
      <c r="N108" s="43">
        <v>0.88</v>
      </c>
      <c r="O108" s="43">
        <v>0.4</v>
      </c>
      <c r="P108" s="4">
        <v>243</v>
      </c>
      <c r="Q108" s="39">
        <v>12.9</v>
      </c>
      <c r="R108" s="4">
        <v>1.2390000000000001</v>
      </c>
      <c r="S108" s="4">
        <v>8.6379999999999999</v>
      </c>
      <c r="T108" s="4">
        <v>30.84</v>
      </c>
      <c r="U108" s="4">
        <v>8.3879999999999999</v>
      </c>
      <c r="V108" s="36">
        <v>15.956</v>
      </c>
      <c r="W108" s="36">
        <v>19.863900000000001</v>
      </c>
      <c r="X108" s="4">
        <v>2.379</v>
      </c>
      <c r="Y108" s="4">
        <v>1.3436754336969812</v>
      </c>
      <c r="Z108" s="4">
        <v>4.16</v>
      </c>
      <c r="AA108" s="4">
        <v>197</v>
      </c>
      <c r="AB108" s="4">
        <v>1297.7713422899722</v>
      </c>
    </row>
    <row r="109" spans="1:29" x14ac:dyDescent="0.25">
      <c r="A109" s="3">
        <v>72</v>
      </c>
      <c r="B109" s="25" t="s">
        <v>85</v>
      </c>
      <c r="C109" s="26">
        <v>45550</v>
      </c>
      <c r="D109" s="25" t="s">
        <v>53</v>
      </c>
      <c r="E109" s="25" t="s">
        <v>54</v>
      </c>
      <c r="F109" s="25" t="s">
        <v>57</v>
      </c>
      <c r="G109" s="27">
        <v>22.5</v>
      </c>
      <c r="H109" s="28">
        <v>0.32569444444444445</v>
      </c>
      <c r="I109" s="25" t="s">
        <v>68</v>
      </c>
      <c r="J109" s="3" t="s">
        <v>55</v>
      </c>
      <c r="K109" s="25" t="s">
        <v>38</v>
      </c>
      <c r="L109" s="27">
        <v>21.4</v>
      </c>
      <c r="M109" s="5">
        <v>45.1</v>
      </c>
      <c r="N109" s="39">
        <v>5.16</v>
      </c>
      <c r="O109" s="43">
        <v>0.4</v>
      </c>
      <c r="P109" s="4">
        <v>284</v>
      </c>
      <c r="Q109" s="4">
        <v>15.3</v>
      </c>
      <c r="R109" s="24" t="s">
        <v>52</v>
      </c>
      <c r="S109" s="24" t="s">
        <v>52</v>
      </c>
      <c r="T109" s="24" t="s">
        <v>52</v>
      </c>
      <c r="U109" s="24" t="s">
        <v>52</v>
      </c>
      <c r="V109" s="36">
        <v>16.2393</v>
      </c>
      <c r="W109" s="36">
        <v>19.452400000000001</v>
      </c>
      <c r="X109" s="4">
        <v>2.38</v>
      </c>
      <c r="Y109" s="4">
        <v>2.3565132238115702</v>
      </c>
      <c r="Z109" s="4">
        <v>2.72</v>
      </c>
      <c r="AA109" s="4">
        <v>217</v>
      </c>
      <c r="AB109" s="4">
        <v>1330</v>
      </c>
    </row>
    <row r="110" spans="1:29" x14ac:dyDescent="0.25">
      <c r="A110" s="45">
        <v>24277</v>
      </c>
      <c r="B110" s="50" t="s">
        <v>85</v>
      </c>
      <c r="C110" s="31"/>
      <c r="D110" s="33" t="s">
        <v>105</v>
      </c>
      <c r="E110" s="25" t="s">
        <v>54</v>
      </c>
      <c r="F110" s="25" t="s">
        <v>57</v>
      </c>
      <c r="G110" s="50" t="s">
        <v>110</v>
      </c>
      <c r="H110" s="32"/>
      <c r="I110" s="30"/>
      <c r="J110" s="8"/>
      <c r="K110" s="30" t="s">
        <v>58</v>
      </c>
      <c r="L110" s="30"/>
      <c r="M110" s="38">
        <v>9.06</v>
      </c>
      <c r="N110" s="43">
        <v>0.88</v>
      </c>
      <c r="O110" s="43">
        <v>0.4</v>
      </c>
      <c r="P110" s="4">
        <v>258</v>
      </c>
      <c r="Q110" s="39">
        <v>12.1</v>
      </c>
      <c r="R110" s="4">
        <v>1.278</v>
      </c>
      <c r="S110" s="4">
        <v>8.2579999999999991</v>
      </c>
      <c r="T110" s="4">
        <v>30.54</v>
      </c>
      <c r="U110" s="4">
        <v>8.4740000000000002</v>
      </c>
      <c r="V110" s="36">
        <v>14.1096</v>
      </c>
      <c r="W110" s="36">
        <v>17.852399999999999</v>
      </c>
      <c r="X110" s="4">
        <v>2.706</v>
      </c>
      <c r="Y110" s="39">
        <v>0.27512104964188011</v>
      </c>
      <c r="Z110" s="4">
        <v>5.64</v>
      </c>
      <c r="AA110" s="4">
        <v>375</v>
      </c>
      <c r="AB110" s="4">
        <v>3430</v>
      </c>
      <c r="AC110" s="34" t="s">
        <v>110</v>
      </c>
    </row>
    <row r="111" spans="1:29" x14ac:dyDescent="0.25">
      <c r="A111" s="3">
        <v>24278</v>
      </c>
      <c r="B111" s="50" t="s">
        <v>85</v>
      </c>
      <c r="C111" s="31"/>
      <c r="D111" s="33" t="s">
        <v>105</v>
      </c>
      <c r="E111" s="25" t="s">
        <v>54</v>
      </c>
      <c r="F111" s="25" t="s">
        <v>57</v>
      </c>
      <c r="G111" s="50" t="s">
        <v>110</v>
      </c>
      <c r="H111" s="32"/>
      <c r="I111" s="30"/>
      <c r="J111" s="8"/>
      <c r="K111" s="30" t="s">
        <v>75</v>
      </c>
      <c r="L111" s="30"/>
      <c r="M111" s="38">
        <v>14.1</v>
      </c>
      <c r="N111" s="39">
        <v>8.2899999999999991</v>
      </c>
      <c r="O111" s="43">
        <v>0.4</v>
      </c>
      <c r="P111" s="4">
        <v>233</v>
      </c>
      <c r="Q111" s="39">
        <v>8.73</v>
      </c>
      <c r="R111" s="4">
        <v>1.288</v>
      </c>
      <c r="S111" s="4">
        <v>8.2859999999999996</v>
      </c>
      <c r="T111" s="4">
        <v>30.5</v>
      </c>
      <c r="U111" s="4">
        <v>8.3659999999999997</v>
      </c>
      <c r="V111" s="36">
        <v>14.443300000000001</v>
      </c>
      <c r="W111" s="36">
        <v>18.1981</v>
      </c>
      <c r="X111" s="4">
        <v>2.6960000000000002</v>
      </c>
      <c r="Y111" s="39">
        <v>0.25843663059575106</v>
      </c>
      <c r="Z111" s="4">
        <v>4.88</v>
      </c>
      <c r="AA111" s="4">
        <v>288</v>
      </c>
      <c r="AB111" s="4">
        <v>2460</v>
      </c>
      <c r="AC111" s="34" t="s">
        <v>110</v>
      </c>
    </row>
    <row r="112" spans="1:29" x14ac:dyDescent="0.25">
      <c r="A112" s="45">
        <v>24279</v>
      </c>
      <c r="B112" s="50" t="s">
        <v>85</v>
      </c>
      <c r="C112" s="31"/>
      <c r="D112" s="33" t="s">
        <v>105</v>
      </c>
      <c r="E112" s="25" t="s">
        <v>54</v>
      </c>
      <c r="F112" s="25" t="s">
        <v>57</v>
      </c>
      <c r="G112" s="50" t="s">
        <v>110</v>
      </c>
      <c r="H112" s="32"/>
      <c r="I112" s="30"/>
      <c r="J112" s="8"/>
      <c r="K112" s="30" t="s">
        <v>38</v>
      </c>
      <c r="L112" s="30"/>
      <c r="M112" s="3">
        <v>36.799999999999997</v>
      </c>
      <c r="N112" s="4">
        <v>204</v>
      </c>
      <c r="O112" s="39">
        <v>1.53</v>
      </c>
      <c r="P112" s="4">
        <v>394</v>
      </c>
      <c r="Q112" s="39">
        <v>5.4</v>
      </c>
      <c r="R112" s="4">
        <v>1.379</v>
      </c>
      <c r="S112" s="4">
        <v>8.76</v>
      </c>
      <c r="T112" s="4">
        <v>33.1</v>
      </c>
      <c r="U112" s="4">
        <v>8.6080000000000005</v>
      </c>
      <c r="V112" s="36">
        <v>15.1357</v>
      </c>
      <c r="W112" s="36">
        <v>18.738800000000001</v>
      </c>
      <c r="X112" s="4">
        <v>2.3730000000000002</v>
      </c>
      <c r="Y112" s="4">
        <v>3.9000306192429681</v>
      </c>
      <c r="Z112" s="4">
        <v>1.71</v>
      </c>
      <c r="AA112" s="6">
        <v>233</v>
      </c>
      <c r="AB112" s="6">
        <v>1210</v>
      </c>
      <c r="AC112" s="34" t="s">
        <v>110</v>
      </c>
    </row>
    <row r="113" spans="1:29" x14ac:dyDescent="0.25">
      <c r="A113" s="3">
        <v>24280</v>
      </c>
      <c r="B113" s="50" t="s">
        <v>85</v>
      </c>
      <c r="C113" s="31"/>
      <c r="D113" s="33" t="s">
        <v>105</v>
      </c>
      <c r="E113" s="25" t="s">
        <v>54</v>
      </c>
      <c r="F113" s="25" t="s">
        <v>57</v>
      </c>
      <c r="G113" s="50" t="s">
        <v>110</v>
      </c>
      <c r="H113" s="32"/>
      <c r="I113" s="30"/>
      <c r="J113" s="8"/>
      <c r="K113" s="30" t="s">
        <v>99</v>
      </c>
      <c r="L113" s="30"/>
      <c r="M113" s="43">
        <v>1.63</v>
      </c>
      <c r="N113" s="43">
        <v>0.88</v>
      </c>
      <c r="O113" s="43">
        <v>0.4</v>
      </c>
      <c r="P113" s="43">
        <v>8.5</v>
      </c>
      <c r="Q113" s="43">
        <v>1.5</v>
      </c>
      <c r="R113" s="43">
        <v>0.03</v>
      </c>
      <c r="S113" s="43">
        <v>0.03</v>
      </c>
      <c r="T113" s="43">
        <v>0.18</v>
      </c>
      <c r="U113" s="43">
        <v>0.02</v>
      </c>
      <c r="V113" s="47">
        <v>0.26590000000000003</v>
      </c>
      <c r="W113" s="47">
        <v>0.22950000000000001</v>
      </c>
      <c r="X113" s="39">
        <v>0.64910000000000001</v>
      </c>
      <c r="Y113" s="43">
        <v>0.05</v>
      </c>
      <c r="Z113" s="43">
        <v>0.05</v>
      </c>
      <c r="AA113" s="4">
        <v>43.1</v>
      </c>
      <c r="AB113" s="39">
        <v>66.2</v>
      </c>
      <c r="AC113" s="34" t="s">
        <v>114</v>
      </c>
    </row>
    <row r="114" spans="1:29" x14ac:dyDescent="0.25">
      <c r="A114" s="3">
        <v>24037</v>
      </c>
      <c r="B114" s="25" t="s">
        <v>79</v>
      </c>
      <c r="C114" s="26">
        <v>45433</v>
      </c>
      <c r="D114" s="25" t="s">
        <v>53</v>
      </c>
      <c r="E114" s="25" t="s">
        <v>54</v>
      </c>
      <c r="F114" s="25" t="s">
        <v>57</v>
      </c>
      <c r="G114" s="27">
        <v>23</v>
      </c>
      <c r="H114" s="28">
        <v>0.58333333333333337</v>
      </c>
      <c r="I114" s="25" t="s">
        <v>68</v>
      </c>
      <c r="J114" s="3" t="s">
        <v>95</v>
      </c>
      <c r="K114" s="25" t="s">
        <v>75</v>
      </c>
      <c r="L114" s="27">
        <v>6</v>
      </c>
      <c r="M114" s="38">
        <v>11.6</v>
      </c>
      <c r="N114" s="4">
        <v>48.3</v>
      </c>
      <c r="O114" s="43">
        <v>0.4</v>
      </c>
      <c r="P114" s="4">
        <v>229</v>
      </c>
      <c r="Q114" s="39">
        <v>4.58</v>
      </c>
      <c r="R114" s="4">
        <v>1.2390000000000001</v>
      </c>
      <c r="S114" s="4">
        <v>8.5820000000000007</v>
      </c>
      <c r="T114" s="4">
        <v>27.64</v>
      </c>
      <c r="U114" s="4">
        <v>8.14</v>
      </c>
      <c r="V114" s="36">
        <v>15.011900000000001</v>
      </c>
      <c r="W114" s="36">
        <v>19.323</v>
      </c>
      <c r="X114" s="4">
        <v>2.6795946696279844</v>
      </c>
      <c r="Y114" s="39">
        <v>0.39593591473357309</v>
      </c>
      <c r="Z114" s="4">
        <v>1.35</v>
      </c>
      <c r="AA114" s="4">
        <v>203</v>
      </c>
      <c r="AB114" s="4">
        <v>709</v>
      </c>
    </row>
    <row r="115" spans="1:29" x14ac:dyDescent="0.25">
      <c r="A115" s="3">
        <v>24038</v>
      </c>
      <c r="B115" s="25" t="s">
        <v>79</v>
      </c>
      <c r="C115" s="26">
        <v>45433</v>
      </c>
      <c r="D115" s="25" t="s">
        <v>53</v>
      </c>
      <c r="E115" s="25" t="s">
        <v>54</v>
      </c>
      <c r="F115" s="25" t="s">
        <v>57</v>
      </c>
      <c r="G115" s="27">
        <v>23</v>
      </c>
      <c r="H115" s="28">
        <v>0.58333333333333337</v>
      </c>
      <c r="I115" s="25" t="s">
        <v>68</v>
      </c>
      <c r="J115" s="3" t="s">
        <v>95</v>
      </c>
      <c r="K115" s="25" t="s">
        <v>38</v>
      </c>
      <c r="L115" s="27">
        <v>22</v>
      </c>
      <c r="M115" s="38">
        <v>12</v>
      </c>
      <c r="N115" s="36">
        <v>38.286667319338179</v>
      </c>
      <c r="O115" s="43">
        <v>0.4</v>
      </c>
      <c r="P115" s="4">
        <v>264.8464086421705</v>
      </c>
      <c r="Q115" s="4">
        <v>26.8</v>
      </c>
      <c r="R115" s="4">
        <v>1.2809999999999999</v>
      </c>
      <c r="S115" s="4">
        <v>8.7439999999999998</v>
      </c>
      <c r="T115" s="4">
        <v>30.18</v>
      </c>
      <c r="U115" s="4">
        <v>8.3079999999999998</v>
      </c>
      <c r="V115" s="36">
        <v>14.975</v>
      </c>
      <c r="W115" s="36">
        <v>19.230699999999999</v>
      </c>
      <c r="X115" s="4">
        <v>2.3264575235980005</v>
      </c>
      <c r="Y115" s="4">
        <v>0.92289268718124451</v>
      </c>
      <c r="Z115" s="4">
        <v>2.68</v>
      </c>
      <c r="AA115" s="4">
        <v>111</v>
      </c>
      <c r="AB115" s="4">
        <v>879</v>
      </c>
    </row>
    <row r="116" spans="1:29" x14ac:dyDescent="0.25">
      <c r="A116" s="45">
        <v>24257</v>
      </c>
      <c r="B116" s="33" t="s">
        <v>79</v>
      </c>
      <c r="C116" s="26">
        <v>45500</v>
      </c>
      <c r="D116" s="33" t="s">
        <v>105</v>
      </c>
      <c r="E116" s="25" t="s">
        <v>54</v>
      </c>
      <c r="F116" s="25" t="s">
        <v>57</v>
      </c>
      <c r="G116" s="25">
        <v>22</v>
      </c>
      <c r="H116" s="28">
        <v>0.48194444444444445</v>
      </c>
      <c r="I116" s="33" t="s">
        <v>80</v>
      </c>
      <c r="J116" s="49" t="s">
        <v>95</v>
      </c>
      <c r="K116" s="33" t="s">
        <v>58</v>
      </c>
      <c r="L116" s="25">
        <v>1.82</v>
      </c>
      <c r="M116" s="3">
        <v>18.7</v>
      </c>
      <c r="N116" s="39">
        <v>4.97</v>
      </c>
      <c r="O116" s="43">
        <v>0.4</v>
      </c>
      <c r="P116" s="4">
        <v>216</v>
      </c>
      <c r="Q116" s="39">
        <v>4.8600000000000003</v>
      </c>
      <c r="R116" s="4">
        <v>1.343</v>
      </c>
      <c r="S116" s="4">
        <v>8.4179999999999993</v>
      </c>
      <c r="T116" s="4">
        <v>29.24</v>
      </c>
      <c r="U116" s="4">
        <v>8.3480000000000008</v>
      </c>
      <c r="V116" s="36">
        <v>14.7125</v>
      </c>
      <c r="W116" s="36">
        <v>18.351600000000001</v>
      </c>
      <c r="X116" s="4">
        <v>2.61</v>
      </c>
      <c r="Y116" s="39">
        <v>0.10950623742609394</v>
      </c>
      <c r="Z116" s="4">
        <v>2.2000000000000002</v>
      </c>
      <c r="AA116" s="6">
        <v>216</v>
      </c>
      <c r="AB116" s="6">
        <v>2040</v>
      </c>
    </row>
    <row r="117" spans="1:29" x14ac:dyDescent="0.25">
      <c r="A117" s="45">
        <v>24258</v>
      </c>
      <c r="B117" s="33" t="s">
        <v>79</v>
      </c>
      <c r="C117" s="26">
        <v>45500</v>
      </c>
      <c r="D117" s="33" t="s">
        <v>105</v>
      </c>
      <c r="E117" s="25" t="s">
        <v>54</v>
      </c>
      <c r="F117" s="25" t="s">
        <v>57</v>
      </c>
      <c r="G117" s="25">
        <v>22</v>
      </c>
      <c r="H117" s="28">
        <v>0.48194444444444445</v>
      </c>
      <c r="I117" s="33" t="s">
        <v>80</v>
      </c>
      <c r="J117" s="49" t="s">
        <v>95</v>
      </c>
      <c r="K117" s="33" t="s">
        <v>75</v>
      </c>
      <c r="L117" s="25">
        <v>18.5</v>
      </c>
      <c r="M117" s="3">
        <v>52</v>
      </c>
      <c r="N117" s="4">
        <v>145</v>
      </c>
      <c r="O117" s="39">
        <v>1.58</v>
      </c>
      <c r="P117" s="4">
        <v>397</v>
      </c>
      <c r="Q117" s="39">
        <v>10.199999999999999</v>
      </c>
      <c r="R117" s="4">
        <v>1.337</v>
      </c>
      <c r="S117" s="4">
        <v>8.3379999999999992</v>
      </c>
      <c r="T117" s="4">
        <v>30.28</v>
      </c>
      <c r="U117" s="4">
        <v>8.4320000000000004</v>
      </c>
      <c r="V117" s="36">
        <v>14.9297</v>
      </c>
      <c r="W117" s="36">
        <v>18.355499999999999</v>
      </c>
      <c r="X117" s="4">
        <v>2.4929999999999999</v>
      </c>
      <c r="Y117" s="4">
        <v>4.8835332156463638</v>
      </c>
      <c r="Z117" s="4">
        <v>1.92</v>
      </c>
      <c r="AA117" s="4">
        <v>197</v>
      </c>
      <c r="AB117" s="4">
        <v>1260</v>
      </c>
    </row>
    <row r="118" spans="1:29" x14ac:dyDescent="0.25">
      <c r="A118" s="3">
        <v>24259</v>
      </c>
      <c r="B118" s="33" t="s">
        <v>79</v>
      </c>
      <c r="C118" s="26">
        <v>45500</v>
      </c>
      <c r="D118" s="33" t="s">
        <v>105</v>
      </c>
      <c r="E118" s="25" t="s">
        <v>54</v>
      </c>
      <c r="F118" s="25" t="s">
        <v>57</v>
      </c>
      <c r="G118" s="25">
        <v>22</v>
      </c>
      <c r="H118" s="28">
        <v>0.48194444444444445</v>
      </c>
      <c r="I118" s="33" t="s">
        <v>80</v>
      </c>
      <c r="J118" s="49" t="s">
        <v>95</v>
      </c>
      <c r="K118" s="33" t="s">
        <v>38</v>
      </c>
      <c r="L118" s="25">
        <v>19.3</v>
      </c>
      <c r="M118" s="3">
        <v>61.9</v>
      </c>
      <c r="N118" s="4">
        <v>150</v>
      </c>
      <c r="O118" s="39">
        <v>1.24</v>
      </c>
      <c r="P118" s="4">
        <v>382</v>
      </c>
      <c r="Q118" s="39">
        <v>10</v>
      </c>
      <c r="R118" s="4">
        <v>1.3460000000000001</v>
      </c>
      <c r="S118" s="4">
        <v>8.4139999999999997</v>
      </c>
      <c r="T118" s="4">
        <v>30.08</v>
      </c>
      <c r="U118" s="4">
        <v>8.41</v>
      </c>
      <c r="V118" s="36">
        <v>14.9689</v>
      </c>
      <c r="W118" s="36">
        <v>18.429300000000001</v>
      </c>
      <c r="X118" s="4">
        <v>2.3580000000000001</v>
      </c>
      <c r="Y118" s="4">
        <v>5.3752845138480625</v>
      </c>
      <c r="Z118" s="4">
        <v>1.52</v>
      </c>
      <c r="AA118" s="6">
        <v>233</v>
      </c>
      <c r="AB118" s="6">
        <v>1270</v>
      </c>
    </row>
    <row r="119" spans="1:29" x14ac:dyDescent="0.25">
      <c r="A119" s="3">
        <v>46</v>
      </c>
      <c r="B119" s="25" t="s">
        <v>79</v>
      </c>
      <c r="C119" s="26">
        <v>45549</v>
      </c>
      <c r="D119" s="25" t="s">
        <v>53</v>
      </c>
      <c r="E119" s="25" t="s">
        <v>54</v>
      </c>
      <c r="F119" s="25" t="s">
        <v>57</v>
      </c>
      <c r="G119" s="27">
        <v>23.2</v>
      </c>
      <c r="H119" s="28">
        <v>0.6875</v>
      </c>
      <c r="I119" s="25" t="s">
        <v>80</v>
      </c>
      <c r="J119" s="3" t="s">
        <v>55</v>
      </c>
      <c r="K119" s="25" t="s">
        <v>58</v>
      </c>
      <c r="L119" s="27">
        <v>5.0999999999999996</v>
      </c>
      <c r="M119" s="38">
        <v>5.96</v>
      </c>
      <c r="N119" s="43">
        <v>0.88</v>
      </c>
      <c r="O119" s="43">
        <v>0.4</v>
      </c>
      <c r="P119" s="4">
        <v>251</v>
      </c>
      <c r="Q119" s="39">
        <v>14.5</v>
      </c>
      <c r="R119" s="4">
        <v>1.2050000000000001</v>
      </c>
      <c r="S119" s="4">
        <v>8.3680000000000003</v>
      </c>
      <c r="T119" s="4">
        <v>29.96</v>
      </c>
      <c r="U119" s="4">
        <v>8.2759999999999998</v>
      </c>
      <c r="V119" s="36">
        <v>15.7454</v>
      </c>
      <c r="W119" s="36">
        <v>19.470400000000001</v>
      </c>
      <c r="X119" s="4">
        <v>2.3650000000000002</v>
      </c>
      <c r="Y119" s="4">
        <v>0.99874647853845444</v>
      </c>
      <c r="Z119" s="4">
        <v>6</v>
      </c>
      <c r="AA119" s="4">
        <v>242</v>
      </c>
      <c r="AB119" s="4">
        <v>1603.9566177705708</v>
      </c>
    </row>
    <row r="120" spans="1:29" x14ac:dyDescent="0.25">
      <c r="A120" s="3">
        <v>47</v>
      </c>
      <c r="B120" s="25" t="s">
        <v>79</v>
      </c>
      <c r="C120" s="26">
        <v>45549</v>
      </c>
      <c r="D120" s="25" t="s">
        <v>53</v>
      </c>
      <c r="E120" s="25" t="s">
        <v>54</v>
      </c>
      <c r="F120" s="25" t="s">
        <v>57</v>
      </c>
      <c r="G120" s="27">
        <v>23.2</v>
      </c>
      <c r="H120" s="28">
        <v>0.6875</v>
      </c>
      <c r="I120" s="25" t="s">
        <v>80</v>
      </c>
      <c r="J120" s="3" t="s">
        <v>55</v>
      </c>
      <c r="K120" s="25" t="s">
        <v>75</v>
      </c>
      <c r="L120" s="27">
        <v>11.6</v>
      </c>
      <c r="M120" s="3">
        <v>64.3</v>
      </c>
      <c r="N120" s="43">
        <v>0.88</v>
      </c>
      <c r="O120" s="39">
        <v>2.02</v>
      </c>
      <c r="P120" s="4">
        <v>271</v>
      </c>
      <c r="Q120" s="4">
        <v>21.9</v>
      </c>
      <c r="R120" s="4">
        <v>1.349</v>
      </c>
      <c r="S120" s="4">
        <v>7.99</v>
      </c>
      <c r="T120" s="4">
        <v>30.9</v>
      </c>
      <c r="U120" s="4">
        <v>8.6039999999999992</v>
      </c>
      <c r="V120" s="36">
        <v>15.539199999999999</v>
      </c>
      <c r="W120" s="36">
        <v>19.225000000000001</v>
      </c>
      <c r="X120" s="4">
        <v>2.419</v>
      </c>
      <c r="Y120" s="4">
        <v>1.446201726455008</v>
      </c>
      <c r="Z120" s="4">
        <v>4.12</v>
      </c>
      <c r="AA120" s="4">
        <v>236</v>
      </c>
      <c r="AB120" s="4">
        <v>1210</v>
      </c>
    </row>
    <row r="121" spans="1:29" x14ac:dyDescent="0.25">
      <c r="A121" s="3">
        <v>48</v>
      </c>
      <c r="B121" s="25" t="s">
        <v>79</v>
      </c>
      <c r="C121" s="26">
        <v>45549</v>
      </c>
      <c r="D121" s="25" t="s">
        <v>53</v>
      </c>
      <c r="E121" s="25" t="s">
        <v>54</v>
      </c>
      <c r="F121" s="25" t="s">
        <v>57</v>
      </c>
      <c r="G121" s="27">
        <v>23.2</v>
      </c>
      <c r="H121" s="28">
        <v>0.6875</v>
      </c>
      <c r="I121" s="25" t="s">
        <v>80</v>
      </c>
      <c r="J121" s="3" t="s">
        <v>55</v>
      </c>
      <c r="K121" s="25" t="s">
        <v>38</v>
      </c>
      <c r="L121" s="27">
        <v>22.2</v>
      </c>
      <c r="M121" s="3">
        <v>243</v>
      </c>
      <c r="N121" s="43">
        <v>0.88</v>
      </c>
      <c r="O121" s="4">
        <v>13.7</v>
      </c>
      <c r="P121" s="4">
        <v>442</v>
      </c>
      <c r="Q121" s="4">
        <v>119</v>
      </c>
      <c r="R121" s="4">
        <v>1.353</v>
      </c>
      <c r="S121" s="4">
        <v>8.7260000000000009</v>
      </c>
      <c r="T121" s="4">
        <v>32.08</v>
      </c>
      <c r="U121" s="4">
        <v>8.7040000000000006</v>
      </c>
      <c r="V121" s="36">
        <v>16.188199999999998</v>
      </c>
      <c r="W121" s="36">
        <v>17.778500000000001</v>
      </c>
      <c r="X121" s="4">
        <v>2.6749999999999998</v>
      </c>
      <c r="Y121" s="4">
        <v>5.9402708923485097</v>
      </c>
      <c r="Z121" s="4">
        <v>2.52</v>
      </c>
      <c r="AA121" s="4">
        <v>586</v>
      </c>
      <c r="AB121" s="4">
        <v>1382.8228077012493</v>
      </c>
    </row>
    <row r="122" spans="1:29" x14ac:dyDescent="0.25">
      <c r="A122" s="3">
        <v>24040</v>
      </c>
      <c r="B122" s="25" t="s">
        <v>63</v>
      </c>
      <c r="C122" s="26">
        <v>45433</v>
      </c>
      <c r="D122" s="25" t="s">
        <v>53</v>
      </c>
      <c r="E122" s="25" t="s">
        <v>54</v>
      </c>
      <c r="F122" s="25" t="s">
        <v>57</v>
      </c>
      <c r="G122" s="27">
        <v>24</v>
      </c>
      <c r="H122" s="28">
        <v>0.75</v>
      </c>
      <c r="I122" s="25" t="s">
        <v>68</v>
      </c>
      <c r="J122" s="3" t="s">
        <v>55</v>
      </c>
      <c r="K122" s="25" t="s">
        <v>58</v>
      </c>
      <c r="L122" s="27">
        <v>5</v>
      </c>
      <c r="M122" s="38">
        <v>7.86</v>
      </c>
      <c r="N122" s="39">
        <v>6.33</v>
      </c>
      <c r="O122" s="43">
        <v>0.4</v>
      </c>
      <c r="P122" s="4">
        <v>195</v>
      </c>
      <c r="Q122" s="39">
        <v>8.92</v>
      </c>
      <c r="R122" s="4">
        <v>1.266</v>
      </c>
      <c r="S122" s="4">
        <v>8.2720000000000002</v>
      </c>
      <c r="T122" s="4">
        <v>31.95</v>
      </c>
      <c r="U122" s="4">
        <v>8.4580000000000002</v>
      </c>
      <c r="V122" s="36">
        <v>14.823499999999999</v>
      </c>
      <c r="W122" s="36">
        <v>19.3857</v>
      </c>
      <c r="X122" s="4">
        <v>2.6450305385896726</v>
      </c>
      <c r="Y122" s="4">
        <v>0.87197898936021334</v>
      </c>
      <c r="Z122" s="4">
        <v>1.23</v>
      </c>
      <c r="AA122" s="4">
        <v>114</v>
      </c>
      <c r="AB122" s="4">
        <v>826</v>
      </c>
    </row>
    <row r="123" spans="1:29" x14ac:dyDescent="0.25">
      <c r="A123" s="3">
        <v>24042</v>
      </c>
      <c r="B123" s="25" t="s">
        <v>63</v>
      </c>
      <c r="C123" s="26">
        <v>45433</v>
      </c>
      <c r="D123" s="25" t="s">
        <v>53</v>
      </c>
      <c r="E123" s="25" t="s">
        <v>54</v>
      </c>
      <c r="F123" s="25" t="s">
        <v>57</v>
      </c>
      <c r="G123" s="27">
        <v>24</v>
      </c>
      <c r="H123" s="28">
        <v>0.75</v>
      </c>
      <c r="I123" s="25" t="s">
        <v>68</v>
      </c>
      <c r="J123" s="3" t="s">
        <v>55</v>
      </c>
      <c r="K123" s="25" t="s">
        <v>38</v>
      </c>
      <c r="L123" s="27">
        <v>23</v>
      </c>
      <c r="M123" s="3">
        <v>27.1</v>
      </c>
      <c r="N123" s="4">
        <v>53.9</v>
      </c>
      <c r="O123" s="39">
        <v>1.05</v>
      </c>
      <c r="P123" s="4">
        <v>282</v>
      </c>
      <c r="Q123" s="39">
        <v>10.199999999999999</v>
      </c>
      <c r="R123" s="4">
        <v>1.298</v>
      </c>
      <c r="S123" s="4">
        <v>8.1479999999999997</v>
      </c>
      <c r="T123" s="4">
        <v>31.02</v>
      </c>
      <c r="U123" s="4">
        <v>8.4499999999999993</v>
      </c>
      <c r="V123" s="36">
        <v>14.5532</v>
      </c>
      <c r="W123" s="36">
        <v>18.944700000000001</v>
      </c>
      <c r="X123" s="4">
        <v>2.3943364797334814</v>
      </c>
      <c r="Y123" s="4">
        <v>1.4490008979985651</v>
      </c>
      <c r="Z123" s="4">
        <v>4</v>
      </c>
      <c r="AA123" s="4">
        <v>107</v>
      </c>
      <c r="AB123" s="4">
        <v>710</v>
      </c>
    </row>
    <row r="124" spans="1:29" x14ac:dyDescent="0.25">
      <c r="A124" s="45">
        <v>24253</v>
      </c>
      <c r="B124" s="33" t="s">
        <v>63</v>
      </c>
      <c r="C124" s="26">
        <v>45500</v>
      </c>
      <c r="D124" s="33" t="s">
        <v>105</v>
      </c>
      <c r="E124" s="25" t="s">
        <v>54</v>
      </c>
      <c r="F124" s="25" t="s">
        <v>57</v>
      </c>
      <c r="G124" s="25">
        <v>22.9</v>
      </c>
      <c r="H124" s="28">
        <v>0.40625</v>
      </c>
      <c r="I124" s="33" t="s">
        <v>80</v>
      </c>
      <c r="J124" s="49" t="s">
        <v>55</v>
      </c>
      <c r="K124" s="33" t="s">
        <v>58</v>
      </c>
      <c r="L124" s="25">
        <v>2.02</v>
      </c>
      <c r="M124" s="3">
        <v>17.600000000000001</v>
      </c>
      <c r="N124" s="4">
        <v>56.9</v>
      </c>
      <c r="O124" s="43">
        <v>0.4</v>
      </c>
      <c r="P124" s="4">
        <v>303</v>
      </c>
      <c r="Q124" s="39">
        <v>8.82</v>
      </c>
      <c r="R124" s="4">
        <v>1.3580000000000001</v>
      </c>
      <c r="S124" s="4">
        <v>8.2279999999999998</v>
      </c>
      <c r="T124" s="4">
        <v>29.08</v>
      </c>
      <c r="U124" s="4">
        <v>8.2799999999999994</v>
      </c>
      <c r="V124" s="36">
        <v>14.6165</v>
      </c>
      <c r="W124" s="36">
        <v>18.1189</v>
      </c>
      <c r="X124" s="4">
        <v>2.528</v>
      </c>
      <c r="Y124" s="39">
        <v>0.47134755948077112</v>
      </c>
      <c r="Z124" s="4">
        <v>4.68</v>
      </c>
      <c r="AA124" s="4">
        <v>365</v>
      </c>
      <c r="AB124" s="4">
        <v>3160</v>
      </c>
    </row>
    <row r="125" spans="1:29" x14ac:dyDescent="0.25">
      <c r="A125" s="45">
        <v>24254</v>
      </c>
      <c r="B125" s="33" t="s">
        <v>63</v>
      </c>
      <c r="C125" s="26">
        <v>45500</v>
      </c>
      <c r="D125" s="33" t="s">
        <v>105</v>
      </c>
      <c r="E125" s="25" t="s">
        <v>54</v>
      </c>
      <c r="F125" s="25" t="s">
        <v>57</v>
      </c>
      <c r="G125" s="25">
        <v>22.9</v>
      </c>
      <c r="H125" s="28">
        <v>0.40625</v>
      </c>
      <c r="I125" s="33" t="s">
        <v>80</v>
      </c>
      <c r="J125" s="49" t="s">
        <v>55</v>
      </c>
      <c r="K125" s="33" t="s">
        <v>75</v>
      </c>
      <c r="L125" s="25">
        <v>18.010000000000002</v>
      </c>
      <c r="M125" s="3">
        <v>80.5</v>
      </c>
      <c r="N125" s="4">
        <v>151</v>
      </c>
      <c r="O125" s="39">
        <v>1.54</v>
      </c>
      <c r="P125" s="4">
        <v>425</v>
      </c>
      <c r="Q125" s="4">
        <v>17.899999999999999</v>
      </c>
      <c r="R125" s="4">
        <v>1.3280000000000001</v>
      </c>
      <c r="S125" s="4">
        <v>8.2840000000000007</v>
      </c>
      <c r="T125" s="4">
        <v>30.52</v>
      </c>
      <c r="U125" s="4">
        <v>8.2940000000000005</v>
      </c>
      <c r="V125" s="36">
        <v>14.595000000000001</v>
      </c>
      <c r="W125" s="36">
        <v>17.993600000000001</v>
      </c>
      <c r="X125" s="4">
        <v>2.4169999999999998</v>
      </c>
      <c r="Y125" s="4">
        <v>4.2512815465298948</v>
      </c>
      <c r="Z125" s="4">
        <v>2.76</v>
      </c>
      <c r="AA125" s="6">
        <v>294</v>
      </c>
      <c r="AB125" s="6">
        <v>1510</v>
      </c>
    </row>
    <row r="126" spans="1:29" x14ac:dyDescent="0.25">
      <c r="A126" s="3">
        <v>24255</v>
      </c>
      <c r="B126" s="33" t="s">
        <v>63</v>
      </c>
      <c r="C126" s="26">
        <v>45500</v>
      </c>
      <c r="D126" s="33" t="s">
        <v>105</v>
      </c>
      <c r="E126" s="25" t="s">
        <v>54</v>
      </c>
      <c r="F126" s="25" t="s">
        <v>57</v>
      </c>
      <c r="G126" s="25">
        <v>22.9</v>
      </c>
      <c r="H126" s="28">
        <v>0.40625</v>
      </c>
      <c r="I126" s="33" t="s">
        <v>80</v>
      </c>
      <c r="J126" s="49" t="s">
        <v>55</v>
      </c>
      <c r="K126" s="33" t="s">
        <v>38</v>
      </c>
      <c r="L126" s="25">
        <v>24.06</v>
      </c>
      <c r="M126" s="3">
        <v>83.8</v>
      </c>
      <c r="N126" s="4">
        <v>153</v>
      </c>
      <c r="O126" s="39">
        <v>1.86</v>
      </c>
      <c r="P126" s="4">
        <v>423</v>
      </c>
      <c r="Q126" s="39">
        <v>7.45</v>
      </c>
      <c r="R126" s="4">
        <v>1.341</v>
      </c>
      <c r="S126" s="4">
        <v>8.4540000000000006</v>
      </c>
      <c r="T126" s="4">
        <v>31.56</v>
      </c>
      <c r="U126" s="4">
        <v>8.4459999999999997</v>
      </c>
      <c r="V126" s="36">
        <v>14.352499999999999</v>
      </c>
      <c r="W126" s="36">
        <v>17.767099999999999</v>
      </c>
      <c r="X126" s="4">
        <v>2.4119999999999999</v>
      </c>
      <c r="Y126" s="4">
        <v>4.4620321029020511</v>
      </c>
      <c r="Z126" s="4">
        <v>1.97</v>
      </c>
      <c r="AA126" s="6">
        <v>303</v>
      </c>
      <c r="AB126" s="6">
        <v>1340</v>
      </c>
    </row>
    <row r="127" spans="1:29" x14ac:dyDescent="0.25">
      <c r="A127" s="3">
        <v>49</v>
      </c>
      <c r="B127" s="25" t="s">
        <v>63</v>
      </c>
      <c r="C127" s="26">
        <v>45549</v>
      </c>
      <c r="D127" s="25" t="s">
        <v>53</v>
      </c>
      <c r="E127" s="25" t="s">
        <v>54</v>
      </c>
      <c r="F127" s="25" t="s">
        <v>57</v>
      </c>
      <c r="G127" s="27">
        <v>24</v>
      </c>
      <c r="H127" s="28">
        <v>0.75</v>
      </c>
      <c r="I127" s="25" t="s">
        <v>80</v>
      </c>
      <c r="J127" s="3" t="s">
        <v>55</v>
      </c>
      <c r="K127" s="25" t="s">
        <v>58</v>
      </c>
      <c r="L127" s="27">
        <v>5</v>
      </c>
      <c r="M127" s="5">
        <v>17.2</v>
      </c>
      <c r="N127" s="4">
        <v>9.6</v>
      </c>
      <c r="O127" s="43">
        <v>0.4</v>
      </c>
      <c r="P127" s="4">
        <v>223</v>
      </c>
      <c r="Q127" s="39">
        <v>13.5</v>
      </c>
      <c r="R127" s="4">
        <v>1.1870000000000001</v>
      </c>
      <c r="S127" s="4">
        <v>8.43</v>
      </c>
      <c r="T127" s="4">
        <v>30.1</v>
      </c>
      <c r="U127" s="4">
        <v>8.3740000000000006</v>
      </c>
      <c r="V127" s="36">
        <v>15.804500000000001</v>
      </c>
      <c r="W127" s="36">
        <v>19.7653</v>
      </c>
      <c r="X127" s="4">
        <v>2.3889999999999998</v>
      </c>
      <c r="Y127" s="4">
        <v>1.0702719863422436</v>
      </c>
      <c r="Z127" s="4">
        <v>5.72</v>
      </c>
      <c r="AA127" s="4">
        <v>281</v>
      </c>
      <c r="AB127" s="4">
        <v>1530</v>
      </c>
    </row>
    <row r="128" spans="1:29" x14ac:dyDescent="0.25">
      <c r="A128" s="3">
        <v>50</v>
      </c>
      <c r="B128" s="25" t="s">
        <v>63</v>
      </c>
      <c r="C128" s="26">
        <v>45549</v>
      </c>
      <c r="D128" s="25" t="s">
        <v>53</v>
      </c>
      <c r="E128" s="25" t="s">
        <v>54</v>
      </c>
      <c r="F128" s="25" t="s">
        <v>57</v>
      </c>
      <c r="G128" s="27">
        <v>24</v>
      </c>
      <c r="H128" s="28">
        <v>0.75</v>
      </c>
      <c r="I128" s="25" t="s">
        <v>80</v>
      </c>
      <c r="J128" s="3" t="s">
        <v>55</v>
      </c>
      <c r="K128" s="25" t="s">
        <v>75</v>
      </c>
      <c r="L128" s="27">
        <v>12</v>
      </c>
      <c r="M128" s="40">
        <v>10.1</v>
      </c>
      <c r="N128" s="39">
        <v>1.82</v>
      </c>
      <c r="O128" s="43">
        <v>0.4</v>
      </c>
      <c r="P128" s="4">
        <v>231</v>
      </c>
      <c r="Q128" s="39">
        <v>9.61</v>
      </c>
      <c r="R128" s="4">
        <v>1.3779999999999999</v>
      </c>
      <c r="S128" s="4">
        <v>8.0760000000000005</v>
      </c>
      <c r="T128" s="4">
        <v>30.84</v>
      </c>
      <c r="U128" s="4">
        <v>8.5839999999999996</v>
      </c>
      <c r="V128" s="36">
        <v>15.5753</v>
      </c>
      <c r="W128" s="36">
        <v>19.476600000000001</v>
      </c>
      <c r="X128" s="4">
        <v>2.4830000000000001</v>
      </c>
      <c r="Y128" s="4">
        <v>1.075601199969008</v>
      </c>
      <c r="Z128" s="4">
        <v>5.32</v>
      </c>
      <c r="AA128" s="4">
        <v>262</v>
      </c>
      <c r="AB128" s="4">
        <v>1290</v>
      </c>
    </row>
    <row r="129" spans="1:28" x14ac:dyDescent="0.25">
      <c r="A129" s="3">
        <v>51</v>
      </c>
      <c r="B129" s="25" t="s">
        <v>63</v>
      </c>
      <c r="C129" s="26">
        <v>45549</v>
      </c>
      <c r="D129" s="25" t="s">
        <v>53</v>
      </c>
      <c r="E129" s="25" t="s">
        <v>54</v>
      </c>
      <c r="F129" s="25" t="s">
        <v>57</v>
      </c>
      <c r="G129" s="27">
        <v>24</v>
      </c>
      <c r="H129" s="28">
        <v>0.75</v>
      </c>
      <c r="I129" s="25" t="s">
        <v>80</v>
      </c>
      <c r="J129" s="3" t="s">
        <v>55</v>
      </c>
      <c r="K129" s="25" t="s">
        <v>38</v>
      </c>
      <c r="L129" s="27">
        <v>23</v>
      </c>
      <c r="M129" s="5">
        <v>62.1</v>
      </c>
      <c r="N129" s="4">
        <v>9.74</v>
      </c>
      <c r="O129" s="43">
        <v>0.4</v>
      </c>
      <c r="P129" s="4">
        <v>268</v>
      </c>
      <c r="Q129" s="4">
        <v>28</v>
      </c>
      <c r="R129" s="4">
        <v>1.361</v>
      </c>
      <c r="S129" s="4">
        <v>7.8680000000000003</v>
      </c>
      <c r="T129" s="4">
        <v>30.98</v>
      </c>
      <c r="U129" s="4">
        <v>8.7520000000000007</v>
      </c>
      <c r="V129" s="36">
        <v>15.930199999999999</v>
      </c>
      <c r="W129" s="36">
        <v>19.7028</v>
      </c>
      <c r="X129" s="4">
        <v>2.3660000000000001</v>
      </c>
      <c r="Y129" s="4">
        <v>1.6085350233218834</v>
      </c>
      <c r="Z129" s="4">
        <v>2.84</v>
      </c>
      <c r="AA129" s="6">
        <v>269</v>
      </c>
      <c r="AB129" s="6">
        <v>905</v>
      </c>
    </row>
    <row r="130" spans="1:28" x14ac:dyDescent="0.25">
      <c r="A130" s="3">
        <v>24156</v>
      </c>
      <c r="B130" s="25" t="s">
        <v>81</v>
      </c>
      <c r="C130" s="26">
        <v>45433</v>
      </c>
      <c r="D130" s="25" t="s">
        <v>53</v>
      </c>
      <c r="E130" s="25" t="s">
        <v>54</v>
      </c>
      <c r="F130" s="25" t="s">
        <v>57</v>
      </c>
      <c r="G130" s="27">
        <v>22.1</v>
      </c>
      <c r="H130" s="28">
        <v>0.8125</v>
      </c>
      <c r="I130" s="25" t="s">
        <v>80</v>
      </c>
      <c r="J130" s="3" t="s">
        <v>95</v>
      </c>
      <c r="K130" s="25" t="s">
        <v>58</v>
      </c>
      <c r="L130" s="27">
        <v>5</v>
      </c>
      <c r="M130" s="3">
        <v>22.8</v>
      </c>
      <c r="N130" s="4">
        <v>18.100000000000001</v>
      </c>
      <c r="O130" s="43">
        <v>0.4</v>
      </c>
      <c r="P130" s="4">
        <v>205.41075191341247</v>
      </c>
      <c r="Q130" s="39">
        <v>6.07</v>
      </c>
      <c r="R130" s="4">
        <v>1.2549999999999999</v>
      </c>
      <c r="S130" s="4">
        <v>8.3019999999999996</v>
      </c>
      <c r="T130" s="4">
        <v>30.18</v>
      </c>
      <c r="U130" s="4">
        <v>8.2319999999999993</v>
      </c>
      <c r="V130" s="36">
        <v>14.758599999999999</v>
      </c>
      <c r="W130" s="36">
        <v>18.856300000000001</v>
      </c>
      <c r="X130" s="4">
        <v>2.7828936895963614</v>
      </c>
      <c r="Y130" s="39">
        <v>0.35775064136779977</v>
      </c>
      <c r="Z130" s="4">
        <v>0.68</v>
      </c>
      <c r="AA130" s="4">
        <v>123</v>
      </c>
      <c r="AB130" s="4">
        <v>840</v>
      </c>
    </row>
    <row r="131" spans="1:28" x14ac:dyDescent="0.25">
      <c r="A131" s="3">
        <v>24157</v>
      </c>
      <c r="B131" s="25" t="s">
        <v>81</v>
      </c>
      <c r="C131" s="26">
        <v>45433</v>
      </c>
      <c r="D131" s="25" t="s">
        <v>53</v>
      </c>
      <c r="E131" s="25" t="s">
        <v>54</v>
      </c>
      <c r="F131" s="25" t="s">
        <v>57</v>
      </c>
      <c r="G131" s="27">
        <v>22.1</v>
      </c>
      <c r="H131" s="28">
        <v>0.8125</v>
      </c>
      <c r="I131" s="25" t="s">
        <v>80</v>
      </c>
      <c r="J131" s="3" t="s">
        <v>95</v>
      </c>
      <c r="K131" s="25" t="s">
        <v>75</v>
      </c>
      <c r="L131" s="27">
        <v>20</v>
      </c>
      <c r="M131" s="3">
        <v>28.7</v>
      </c>
      <c r="N131" s="4">
        <v>55.4</v>
      </c>
      <c r="O131" s="39">
        <v>0.84</v>
      </c>
      <c r="P131" s="4">
        <v>262</v>
      </c>
      <c r="Q131" s="4">
        <v>21</v>
      </c>
      <c r="R131" s="4">
        <v>1.3029999999999999</v>
      </c>
      <c r="S131" s="4">
        <v>8.2059999999999995</v>
      </c>
      <c r="T131" s="4">
        <v>30.87</v>
      </c>
      <c r="U131" s="4">
        <v>8.4019999999999992</v>
      </c>
      <c r="V131" s="36">
        <v>14.635300000000001</v>
      </c>
      <c r="W131" s="36">
        <v>18.7684</v>
      </c>
      <c r="X131" s="4">
        <v>2.7533314383172258</v>
      </c>
      <c r="Y131" s="39">
        <v>0.25507468409538719</v>
      </c>
      <c r="Z131" s="4">
        <v>4.5999999999999996</v>
      </c>
      <c r="AA131" s="4">
        <v>159</v>
      </c>
      <c r="AB131" s="4">
        <v>1080</v>
      </c>
    </row>
    <row r="132" spans="1:28" x14ac:dyDescent="0.25">
      <c r="A132" s="3">
        <v>24158</v>
      </c>
      <c r="B132" s="25" t="s">
        <v>81</v>
      </c>
      <c r="C132" s="26">
        <v>45433</v>
      </c>
      <c r="D132" s="25" t="s">
        <v>53</v>
      </c>
      <c r="E132" s="25" t="s">
        <v>54</v>
      </c>
      <c r="F132" s="25" t="s">
        <v>57</v>
      </c>
      <c r="G132" s="27">
        <v>22.1</v>
      </c>
      <c r="H132" s="28">
        <v>0.8125</v>
      </c>
      <c r="I132" s="25" t="s">
        <v>80</v>
      </c>
      <c r="J132" s="3" t="s">
        <v>95</v>
      </c>
      <c r="K132" s="25" t="s">
        <v>38</v>
      </c>
      <c r="L132" s="27">
        <v>20.8</v>
      </c>
      <c r="M132" s="3">
        <v>22.5</v>
      </c>
      <c r="N132" s="4">
        <v>41.4</v>
      </c>
      <c r="O132" s="43">
        <v>0.4</v>
      </c>
      <c r="P132" s="4">
        <v>239.25605643951079</v>
      </c>
      <c r="Q132" s="39">
        <v>9.2899999999999991</v>
      </c>
      <c r="R132" s="4">
        <v>1.327</v>
      </c>
      <c r="S132" s="4">
        <v>8.2360000000000007</v>
      </c>
      <c r="T132" s="4">
        <v>30.25</v>
      </c>
      <c r="U132" s="4">
        <v>8.4039999999999999</v>
      </c>
      <c r="V132" s="36">
        <v>14.744199999999999</v>
      </c>
      <c r="W132" s="36">
        <v>18.874700000000001</v>
      </c>
      <c r="X132" s="4">
        <v>2.7475042637862419</v>
      </c>
      <c r="Y132" s="4">
        <v>0.71754077263641924</v>
      </c>
      <c r="Z132" s="4">
        <v>4.4400000000000004</v>
      </c>
      <c r="AA132" s="4">
        <v>124</v>
      </c>
      <c r="AB132" s="4">
        <v>843</v>
      </c>
    </row>
    <row r="133" spans="1:28" x14ac:dyDescent="0.25">
      <c r="A133" s="3">
        <v>24249</v>
      </c>
      <c r="B133" s="34" t="s">
        <v>81</v>
      </c>
      <c r="C133" s="35">
        <v>45500</v>
      </c>
      <c r="D133" s="33" t="s">
        <v>105</v>
      </c>
      <c r="E133" s="25" t="s">
        <v>54</v>
      </c>
      <c r="F133" s="25" t="s">
        <v>57</v>
      </c>
      <c r="G133" s="25">
        <v>20.8</v>
      </c>
      <c r="H133" s="29">
        <v>0.33333333333333331</v>
      </c>
      <c r="I133" s="34" t="s">
        <v>68</v>
      </c>
      <c r="J133" s="49" t="s">
        <v>95</v>
      </c>
      <c r="K133" s="34" t="s">
        <v>58</v>
      </c>
      <c r="L133">
        <v>2.06</v>
      </c>
      <c r="M133" s="38">
        <v>13.8</v>
      </c>
      <c r="N133" s="4">
        <v>13.1</v>
      </c>
      <c r="O133" s="43">
        <v>0.4</v>
      </c>
      <c r="P133" s="4">
        <v>216</v>
      </c>
      <c r="Q133" s="39">
        <v>8.09</v>
      </c>
      <c r="R133" s="4">
        <v>1.276</v>
      </c>
      <c r="S133" s="4">
        <v>8.4039999999999999</v>
      </c>
      <c r="T133" s="4">
        <v>31.06</v>
      </c>
      <c r="U133" s="4">
        <v>8.4320000000000004</v>
      </c>
      <c r="V133" s="36">
        <v>14.5655</v>
      </c>
      <c r="W133" s="36">
        <v>18.090699999999998</v>
      </c>
      <c r="X133" s="4">
        <v>2.6880000000000002</v>
      </c>
      <c r="Y133" s="39">
        <v>0.13813710801718451</v>
      </c>
      <c r="Z133" s="4">
        <v>2.4</v>
      </c>
      <c r="AA133" s="4">
        <v>255</v>
      </c>
      <c r="AB133" s="4">
        <v>1970</v>
      </c>
    </row>
    <row r="134" spans="1:28" x14ac:dyDescent="0.25">
      <c r="A134" s="45">
        <v>24250</v>
      </c>
      <c r="B134" s="34" t="s">
        <v>81</v>
      </c>
      <c r="C134" s="35">
        <v>45500</v>
      </c>
      <c r="D134" s="33" t="s">
        <v>105</v>
      </c>
      <c r="E134" s="25" t="s">
        <v>54</v>
      </c>
      <c r="F134" s="25" t="s">
        <v>57</v>
      </c>
      <c r="G134" s="25">
        <v>20.8</v>
      </c>
      <c r="H134" s="29">
        <v>0.33333333333333331</v>
      </c>
      <c r="I134" s="34" t="s">
        <v>68</v>
      </c>
      <c r="J134" s="49" t="s">
        <v>95</v>
      </c>
      <c r="K134" s="33" t="s">
        <v>75</v>
      </c>
      <c r="L134" s="25">
        <v>16.3</v>
      </c>
      <c r="M134" s="3">
        <v>78.8</v>
      </c>
      <c r="N134" s="4">
        <v>102</v>
      </c>
      <c r="O134" s="39">
        <v>0.996</v>
      </c>
      <c r="P134" s="4">
        <v>355</v>
      </c>
      <c r="Q134" s="39">
        <v>6.33</v>
      </c>
      <c r="R134" s="4">
        <v>1.329</v>
      </c>
      <c r="S134" s="4">
        <v>8.3019999999999996</v>
      </c>
      <c r="T134" s="4">
        <v>32.42</v>
      </c>
      <c r="U134" s="4">
        <v>8.4779999999999998</v>
      </c>
      <c r="V134" s="36">
        <v>14.117800000000001</v>
      </c>
      <c r="W134" s="36">
        <v>17.454699999999999</v>
      </c>
      <c r="X134" s="4">
        <v>2.4580000000000002</v>
      </c>
      <c r="Y134" s="4">
        <v>4.7079077520029005</v>
      </c>
      <c r="Z134" s="4">
        <v>2.27</v>
      </c>
      <c r="AA134" s="4">
        <v>328</v>
      </c>
      <c r="AB134" s="4">
        <v>1630</v>
      </c>
    </row>
    <row r="135" spans="1:28" x14ac:dyDescent="0.25">
      <c r="A135" s="3">
        <v>24251</v>
      </c>
      <c r="B135" s="34" t="s">
        <v>81</v>
      </c>
      <c r="C135" s="35">
        <v>45500</v>
      </c>
      <c r="D135" s="33" t="s">
        <v>105</v>
      </c>
      <c r="E135" s="25" t="s">
        <v>54</v>
      </c>
      <c r="F135" s="25" t="s">
        <v>57</v>
      </c>
      <c r="G135" s="25">
        <v>20.8</v>
      </c>
      <c r="H135" s="29">
        <v>0.33333333333333331</v>
      </c>
      <c r="I135" s="34" t="s">
        <v>68</v>
      </c>
      <c r="J135" s="49" t="s">
        <v>95</v>
      </c>
      <c r="K135" s="33" t="s">
        <v>38</v>
      </c>
      <c r="L135" s="25">
        <v>20.9</v>
      </c>
      <c r="M135" s="3">
        <v>93.8</v>
      </c>
      <c r="N135" s="4">
        <v>103</v>
      </c>
      <c r="O135" s="39">
        <v>2.39</v>
      </c>
      <c r="P135" s="4">
        <v>368</v>
      </c>
      <c r="Q135" s="39">
        <v>5.3</v>
      </c>
      <c r="R135" s="4">
        <v>1.343</v>
      </c>
      <c r="S135" s="4">
        <v>8.4719999999999995</v>
      </c>
      <c r="T135" s="4">
        <v>30.74</v>
      </c>
      <c r="U135" s="4">
        <v>8.5399999999999991</v>
      </c>
      <c r="V135" s="36">
        <v>14.7484</v>
      </c>
      <c r="W135" s="36">
        <v>18.3582</v>
      </c>
      <c r="X135" s="4">
        <v>2.653</v>
      </c>
      <c r="Y135" s="4">
        <v>4.8979202493085721</v>
      </c>
      <c r="Z135" s="4">
        <v>1.8</v>
      </c>
      <c r="AA135" s="4">
        <v>267</v>
      </c>
      <c r="AB135" s="4">
        <v>1180</v>
      </c>
    </row>
    <row r="136" spans="1:28" x14ac:dyDescent="0.25">
      <c r="A136" s="45">
        <v>24252</v>
      </c>
      <c r="B136" s="34" t="s">
        <v>81</v>
      </c>
      <c r="C136" s="35">
        <v>45500</v>
      </c>
      <c r="D136" s="33" t="s">
        <v>105</v>
      </c>
      <c r="E136" s="25" t="s">
        <v>54</v>
      </c>
      <c r="F136" s="25" t="s">
        <v>57</v>
      </c>
      <c r="G136" s="25">
        <v>20.8</v>
      </c>
      <c r="H136" s="29">
        <v>0.33333333333333331</v>
      </c>
      <c r="I136" s="34" t="s">
        <v>68</v>
      </c>
      <c r="J136" s="49" t="s">
        <v>95</v>
      </c>
      <c r="K136" s="33" t="s">
        <v>76</v>
      </c>
      <c r="L136" s="25">
        <v>2.06</v>
      </c>
      <c r="M136" s="38">
        <v>9.7200000000000006</v>
      </c>
      <c r="N136" s="39">
        <v>4.96</v>
      </c>
      <c r="O136" s="43">
        <v>0.4</v>
      </c>
      <c r="P136" s="4">
        <v>236</v>
      </c>
      <c r="Q136" s="4">
        <v>79.3</v>
      </c>
      <c r="R136" s="4">
        <v>1.2909999999999999</v>
      </c>
      <c r="S136" s="4">
        <v>8.2840000000000007</v>
      </c>
      <c r="T136" s="4">
        <v>29.68</v>
      </c>
      <c r="U136" s="4">
        <v>8.3320000000000007</v>
      </c>
      <c r="V136" s="36">
        <v>14.531700000000001</v>
      </c>
      <c r="W136" s="36">
        <v>18.126300000000001</v>
      </c>
      <c r="X136" s="4">
        <v>2.6070000000000002</v>
      </c>
      <c r="Y136" s="39">
        <v>0.12703009296839829</v>
      </c>
      <c r="Z136" s="4">
        <v>4.68</v>
      </c>
      <c r="AA136" s="6">
        <v>278</v>
      </c>
      <c r="AB136" s="6">
        <v>2100</v>
      </c>
    </row>
    <row r="137" spans="1:28" x14ac:dyDescent="0.25">
      <c r="A137" s="3">
        <v>52</v>
      </c>
      <c r="B137" s="25" t="s">
        <v>81</v>
      </c>
      <c r="C137" s="26">
        <v>45549</v>
      </c>
      <c r="D137" s="25" t="s">
        <v>53</v>
      </c>
      <c r="E137" s="25" t="s">
        <v>54</v>
      </c>
      <c r="F137" s="25" t="s">
        <v>57</v>
      </c>
      <c r="G137" s="27">
        <v>21.8</v>
      </c>
      <c r="H137" s="28">
        <v>0.81944444444444453</v>
      </c>
      <c r="I137" s="25" t="s">
        <v>68</v>
      </c>
      <c r="J137" s="3" t="s">
        <v>55</v>
      </c>
      <c r="K137" s="25" t="s">
        <v>58</v>
      </c>
      <c r="L137" s="27">
        <v>5</v>
      </c>
      <c r="M137" s="38">
        <v>6.7</v>
      </c>
      <c r="N137" s="43">
        <v>0.88</v>
      </c>
      <c r="O137" s="43">
        <v>0.4</v>
      </c>
      <c r="P137" s="4">
        <v>242</v>
      </c>
      <c r="Q137" s="4">
        <v>17.5</v>
      </c>
      <c r="R137" s="4">
        <v>1.3120000000000001</v>
      </c>
      <c r="S137" s="4">
        <v>7.7160000000000002</v>
      </c>
      <c r="T137" s="4">
        <v>29.98</v>
      </c>
      <c r="U137" s="4">
        <v>8.4979999999999993</v>
      </c>
      <c r="V137" s="36">
        <v>15.148400000000001</v>
      </c>
      <c r="W137" s="36">
        <v>18.776900000000001</v>
      </c>
      <c r="X137" s="4">
        <v>2.3759999999999999</v>
      </c>
      <c r="Y137" s="4">
        <v>0.98166765155388691</v>
      </c>
      <c r="Z137" s="4">
        <v>5.8</v>
      </c>
      <c r="AA137" s="4">
        <v>283</v>
      </c>
      <c r="AB137" s="4">
        <v>1560</v>
      </c>
    </row>
    <row r="138" spans="1:28" x14ac:dyDescent="0.25">
      <c r="A138" s="3">
        <v>53</v>
      </c>
      <c r="B138" s="25" t="s">
        <v>81</v>
      </c>
      <c r="C138" s="26">
        <v>45549</v>
      </c>
      <c r="D138" s="25" t="s">
        <v>53</v>
      </c>
      <c r="E138" s="25" t="s">
        <v>54</v>
      </c>
      <c r="F138" s="25" t="s">
        <v>57</v>
      </c>
      <c r="G138" s="27">
        <v>21.8</v>
      </c>
      <c r="H138" s="28">
        <v>0.81944444444444453</v>
      </c>
      <c r="I138" s="25" t="s">
        <v>68</v>
      </c>
      <c r="J138" s="3" t="s">
        <v>55</v>
      </c>
      <c r="K138" s="25" t="s">
        <v>75</v>
      </c>
      <c r="L138" s="27">
        <v>10.9</v>
      </c>
      <c r="M138" s="40">
        <v>12.1</v>
      </c>
      <c r="N138" s="39">
        <v>4.28</v>
      </c>
      <c r="O138" s="43">
        <v>0.4</v>
      </c>
      <c r="P138" s="4">
        <v>234</v>
      </c>
      <c r="Q138" s="39">
        <v>12.4</v>
      </c>
      <c r="R138" s="4">
        <v>1.1759999999999999</v>
      </c>
      <c r="S138" s="4">
        <v>8.3640000000000008</v>
      </c>
      <c r="T138" s="4">
        <v>29.88</v>
      </c>
      <c r="U138" s="4">
        <v>8.3940000000000001</v>
      </c>
      <c r="V138" s="36">
        <v>15.302099999999999</v>
      </c>
      <c r="W138" s="36">
        <v>18.999700000000001</v>
      </c>
      <c r="X138" s="4">
        <v>2.484</v>
      </c>
      <c r="Y138" s="4">
        <v>1.138622848180928</v>
      </c>
      <c r="Z138" s="4">
        <v>5.36</v>
      </c>
      <c r="AA138" s="4">
        <v>244</v>
      </c>
      <c r="AB138" s="4">
        <v>1280</v>
      </c>
    </row>
    <row r="139" spans="1:28" x14ac:dyDescent="0.25">
      <c r="A139" s="3">
        <v>54</v>
      </c>
      <c r="B139" s="25" t="s">
        <v>81</v>
      </c>
      <c r="C139" s="26">
        <v>45549</v>
      </c>
      <c r="D139" s="25" t="s">
        <v>53</v>
      </c>
      <c r="E139" s="25" t="s">
        <v>54</v>
      </c>
      <c r="F139" s="25" t="s">
        <v>57</v>
      </c>
      <c r="G139" s="27">
        <v>21.8</v>
      </c>
      <c r="H139" s="28">
        <v>0.81944444444444453</v>
      </c>
      <c r="I139" s="25" t="s">
        <v>68</v>
      </c>
      <c r="J139" s="3" t="s">
        <v>55</v>
      </c>
      <c r="K139" s="25" t="s">
        <v>38</v>
      </c>
      <c r="L139" s="27">
        <v>20.8</v>
      </c>
      <c r="M139" s="9">
        <v>265</v>
      </c>
      <c r="N139" s="43">
        <v>0.88</v>
      </c>
      <c r="O139" s="4">
        <v>12.9</v>
      </c>
      <c r="P139" s="4">
        <v>454</v>
      </c>
      <c r="Q139" s="4">
        <v>104</v>
      </c>
      <c r="R139" s="4">
        <v>1.355</v>
      </c>
      <c r="S139" s="4">
        <v>8.94</v>
      </c>
      <c r="T139" s="4">
        <v>31.16</v>
      </c>
      <c r="U139" s="4">
        <v>8.5259999999999998</v>
      </c>
      <c r="V139" s="36">
        <v>15.2828</v>
      </c>
      <c r="W139" s="36">
        <v>17.0868</v>
      </c>
      <c r="X139" s="4">
        <v>2.6709999999999998</v>
      </c>
      <c r="Y139" s="4">
        <v>5.3026108786494639</v>
      </c>
      <c r="Z139" s="4">
        <v>2.52</v>
      </c>
      <c r="AA139" s="4">
        <v>332</v>
      </c>
      <c r="AB139" s="4">
        <v>1220</v>
      </c>
    </row>
    <row r="140" spans="1:28" x14ac:dyDescent="0.25">
      <c r="A140" s="3">
        <v>24049</v>
      </c>
      <c r="B140" s="25" t="s">
        <v>74</v>
      </c>
      <c r="C140" s="26">
        <v>45433</v>
      </c>
      <c r="D140" s="25" t="s">
        <v>53</v>
      </c>
      <c r="E140" s="25" t="s">
        <v>54</v>
      </c>
      <c r="F140" s="25" t="s">
        <v>57</v>
      </c>
      <c r="G140" s="27">
        <v>22.3</v>
      </c>
      <c r="H140" s="28">
        <v>0.34722222222222227</v>
      </c>
      <c r="I140" s="25" t="s">
        <v>68</v>
      </c>
      <c r="J140" s="3" t="s">
        <v>55</v>
      </c>
      <c r="K140" s="25" t="s">
        <v>75</v>
      </c>
      <c r="L140" s="27">
        <v>11.1</v>
      </c>
      <c r="M140" s="38">
        <v>13.2</v>
      </c>
      <c r="N140" s="4">
        <v>9.2799999999999994</v>
      </c>
      <c r="O140" s="39">
        <v>0.9</v>
      </c>
      <c r="P140" s="4">
        <v>257</v>
      </c>
      <c r="Q140" s="39">
        <v>10.3</v>
      </c>
      <c r="R140" s="4">
        <v>1.339</v>
      </c>
      <c r="S140" s="4">
        <v>8.5939999999999994</v>
      </c>
      <c r="T140" s="4">
        <v>31.62</v>
      </c>
      <c r="U140" s="4">
        <v>8.3940000000000001</v>
      </c>
      <c r="V140" s="36">
        <v>15.1739</v>
      </c>
      <c r="W140" s="36">
        <v>19.408899999999999</v>
      </c>
      <c r="X140" s="4">
        <v>2.5721543586896165</v>
      </c>
      <c r="Y140" s="4">
        <v>0.74893755295938835</v>
      </c>
      <c r="Z140" s="4">
        <v>2.92</v>
      </c>
      <c r="AA140" s="4">
        <v>165</v>
      </c>
      <c r="AB140" s="4">
        <v>1080</v>
      </c>
    </row>
    <row r="141" spans="1:28" x14ac:dyDescent="0.25">
      <c r="A141" s="3">
        <v>24050</v>
      </c>
      <c r="B141" s="25" t="s">
        <v>74</v>
      </c>
      <c r="C141" s="26">
        <v>45433</v>
      </c>
      <c r="D141" s="25" t="s">
        <v>53</v>
      </c>
      <c r="E141" s="25" t="s">
        <v>54</v>
      </c>
      <c r="F141" s="25" t="s">
        <v>57</v>
      </c>
      <c r="G141" s="27">
        <v>22.3</v>
      </c>
      <c r="H141" s="28">
        <v>0.34722222222222227</v>
      </c>
      <c r="I141" s="25" t="s">
        <v>68</v>
      </c>
      <c r="J141" s="3" t="s">
        <v>55</v>
      </c>
      <c r="K141" s="25" t="s">
        <v>38</v>
      </c>
      <c r="L141" s="27">
        <v>21.3</v>
      </c>
      <c r="M141" s="3">
        <v>22</v>
      </c>
      <c r="N141" s="4">
        <v>28.1</v>
      </c>
      <c r="O141" s="39">
        <v>1.1000000000000001</v>
      </c>
      <c r="P141" s="4">
        <v>245.03452306591785</v>
      </c>
      <c r="Q141" s="4">
        <v>27.7</v>
      </c>
      <c r="R141" s="4">
        <v>1.1859999999999999</v>
      </c>
      <c r="S141" s="4">
        <v>7.9039999999999999</v>
      </c>
      <c r="T141" s="4">
        <v>27.52</v>
      </c>
      <c r="U141" s="4">
        <v>8.0579999999999998</v>
      </c>
      <c r="V141" s="36">
        <v>14.8538</v>
      </c>
      <c r="W141" s="36">
        <v>18.877600000000001</v>
      </c>
      <c r="X141" s="4">
        <v>2.4749861188228763</v>
      </c>
      <c r="Y141" s="4">
        <v>1.2623173393214515</v>
      </c>
      <c r="Z141" s="4">
        <v>7.92</v>
      </c>
      <c r="AA141" s="4">
        <v>159</v>
      </c>
      <c r="AB141" s="4">
        <v>960</v>
      </c>
    </row>
    <row r="142" spans="1:28" x14ac:dyDescent="0.25">
      <c r="A142" s="45">
        <v>24233</v>
      </c>
      <c r="B142" s="25" t="s">
        <v>74</v>
      </c>
      <c r="C142" s="26">
        <v>45499</v>
      </c>
      <c r="D142" s="33" t="s">
        <v>105</v>
      </c>
      <c r="E142" s="25" t="s">
        <v>54</v>
      </c>
      <c r="F142" s="25" t="s">
        <v>57</v>
      </c>
      <c r="G142" s="25">
        <v>21.2</v>
      </c>
      <c r="H142" s="28">
        <v>0.57430555555555551</v>
      </c>
      <c r="I142" s="25" t="s">
        <v>100</v>
      </c>
      <c r="J142" s="3" t="s">
        <v>95</v>
      </c>
      <c r="K142" s="25" t="s">
        <v>58</v>
      </c>
      <c r="L142" s="25">
        <v>2.0499999999999998</v>
      </c>
      <c r="M142" s="38">
        <v>8.24</v>
      </c>
      <c r="N142" s="4">
        <v>37.700000000000003</v>
      </c>
      <c r="O142" s="39">
        <v>0.98499999999999999</v>
      </c>
      <c r="P142" s="4">
        <v>353</v>
      </c>
      <c r="Q142" s="4">
        <v>22.6</v>
      </c>
      <c r="R142" s="4">
        <v>1.298</v>
      </c>
      <c r="S142" s="4">
        <v>8.4440000000000008</v>
      </c>
      <c r="T142" s="4">
        <v>28.62</v>
      </c>
      <c r="U142" s="4">
        <v>8.3160000000000007</v>
      </c>
      <c r="V142" s="36">
        <v>14.853999999999999</v>
      </c>
      <c r="W142" s="36">
        <v>18.215299999999999</v>
      </c>
      <c r="X142" s="4">
        <v>2.6459999999999999</v>
      </c>
      <c r="Y142" s="39">
        <v>0.17589266268332318</v>
      </c>
      <c r="Z142" s="4">
        <v>3.44</v>
      </c>
      <c r="AA142" s="6">
        <v>404</v>
      </c>
      <c r="AB142" s="6">
        <v>3750</v>
      </c>
    </row>
    <row r="143" spans="1:28" x14ac:dyDescent="0.25">
      <c r="A143" s="3">
        <v>24234</v>
      </c>
      <c r="B143" s="25" t="s">
        <v>74</v>
      </c>
      <c r="C143" s="26">
        <v>45499</v>
      </c>
      <c r="D143" s="33" t="s">
        <v>105</v>
      </c>
      <c r="E143" s="25" t="s">
        <v>54</v>
      </c>
      <c r="F143" s="25" t="s">
        <v>57</v>
      </c>
      <c r="G143" s="25">
        <v>21.2</v>
      </c>
      <c r="H143" s="28">
        <v>0.57430555555555551</v>
      </c>
      <c r="I143" s="25" t="s">
        <v>100</v>
      </c>
      <c r="J143" s="3" t="s">
        <v>95</v>
      </c>
      <c r="K143" s="25" t="s">
        <v>75</v>
      </c>
      <c r="L143" s="25">
        <v>9.52</v>
      </c>
      <c r="M143" s="3">
        <v>16.600000000000001</v>
      </c>
      <c r="N143" s="4">
        <v>67.599999999999994</v>
      </c>
      <c r="O143" s="39">
        <v>0.85899999999999999</v>
      </c>
      <c r="P143" s="4">
        <v>333</v>
      </c>
      <c r="Q143" s="39">
        <v>11.4</v>
      </c>
      <c r="R143" s="4">
        <v>1.3240000000000001</v>
      </c>
      <c r="S143" s="4">
        <v>8.3460000000000001</v>
      </c>
      <c r="T143" s="4">
        <v>30.16</v>
      </c>
      <c r="U143" s="4">
        <v>8.2560000000000002</v>
      </c>
      <c r="V143" s="36">
        <v>14.9345</v>
      </c>
      <c r="W143" s="36">
        <v>18.260100000000001</v>
      </c>
      <c r="X143" s="4">
        <v>2.585</v>
      </c>
      <c r="Y143" s="39">
        <v>0.22067715591240639</v>
      </c>
      <c r="Z143" s="4">
        <v>4.96</v>
      </c>
      <c r="AA143" s="4">
        <v>317</v>
      </c>
      <c r="AB143" s="4">
        <v>2540</v>
      </c>
    </row>
    <row r="144" spans="1:28" x14ac:dyDescent="0.25">
      <c r="A144" s="3">
        <v>24235</v>
      </c>
      <c r="B144" s="25" t="s">
        <v>74</v>
      </c>
      <c r="C144" s="26">
        <v>45499</v>
      </c>
      <c r="D144" s="33" t="s">
        <v>105</v>
      </c>
      <c r="E144" s="25" t="s">
        <v>54</v>
      </c>
      <c r="F144" s="25" t="s">
        <v>57</v>
      </c>
      <c r="G144" s="25">
        <v>21.2</v>
      </c>
      <c r="H144" s="28">
        <v>0.57430555555555551</v>
      </c>
      <c r="I144" s="25" t="s">
        <v>100</v>
      </c>
      <c r="J144" s="3" t="s">
        <v>95</v>
      </c>
      <c r="K144" s="25" t="s">
        <v>38</v>
      </c>
      <c r="L144" s="25">
        <v>18.690000000000001</v>
      </c>
      <c r="M144" s="3">
        <v>59.9</v>
      </c>
      <c r="N144" s="4">
        <v>191</v>
      </c>
      <c r="O144" s="39">
        <v>1.19</v>
      </c>
      <c r="P144" s="4">
        <v>459</v>
      </c>
      <c r="Q144" s="39">
        <v>11.4</v>
      </c>
      <c r="R144" s="4">
        <v>1.399</v>
      </c>
      <c r="S144" s="4">
        <v>8.1839999999999993</v>
      </c>
      <c r="T144" s="4">
        <v>29.3</v>
      </c>
      <c r="U144" s="4">
        <v>8.4060000000000006</v>
      </c>
      <c r="V144" s="36">
        <v>14.7561</v>
      </c>
      <c r="W144" s="36">
        <v>18.182300000000001</v>
      </c>
      <c r="X144" s="4">
        <v>2.3690000000000002</v>
      </c>
      <c r="Y144" s="4">
        <v>3.9324643258371541</v>
      </c>
      <c r="Z144" s="4">
        <v>1.68</v>
      </c>
      <c r="AA144" s="6">
        <v>228</v>
      </c>
      <c r="AB144" s="6">
        <v>1280</v>
      </c>
    </row>
    <row r="145" spans="1:29" x14ac:dyDescent="0.25">
      <c r="A145" s="3">
        <v>40</v>
      </c>
      <c r="B145" s="25" t="s">
        <v>74</v>
      </c>
      <c r="C145" s="26">
        <v>45549</v>
      </c>
      <c r="D145" s="25" t="s">
        <v>53</v>
      </c>
      <c r="E145" s="25" t="s">
        <v>54</v>
      </c>
      <c r="F145" s="25" t="s">
        <v>57</v>
      </c>
      <c r="G145" s="27">
        <v>22.4</v>
      </c>
      <c r="H145" s="28">
        <v>0.4375</v>
      </c>
      <c r="I145" s="25" t="s">
        <v>68</v>
      </c>
      <c r="J145" s="3" t="s">
        <v>55</v>
      </c>
      <c r="K145" s="25" t="s">
        <v>58</v>
      </c>
      <c r="L145" s="27">
        <v>5</v>
      </c>
      <c r="M145" s="38">
        <v>13.8</v>
      </c>
      <c r="N145" s="43">
        <v>0.88</v>
      </c>
      <c r="O145" s="43">
        <v>0.4</v>
      </c>
      <c r="P145" s="4">
        <v>233</v>
      </c>
      <c r="Q145" s="39">
        <v>14.5</v>
      </c>
      <c r="R145" s="4">
        <v>1.26</v>
      </c>
      <c r="S145" s="4">
        <v>7.6280000000000001</v>
      </c>
      <c r="T145" s="4">
        <v>30.28</v>
      </c>
      <c r="U145" s="4">
        <v>8.4480000000000004</v>
      </c>
      <c r="V145" s="36">
        <v>15.592700000000001</v>
      </c>
      <c r="W145" s="36">
        <v>19.3931</v>
      </c>
      <c r="X145" s="4">
        <v>2.3570000000000002</v>
      </c>
      <c r="Y145" s="4">
        <v>1.0926800269535757</v>
      </c>
      <c r="Z145" s="4">
        <v>4.32</v>
      </c>
      <c r="AA145" s="4">
        <v>246</v>
      </c>
      <c r="AB145" s="4">
        <v>1170</v>
      </c>
    </row>
    <row r="146" spans="1:29" x14ac:dyDescent="0.25">
      <c r="A146" s="3">
        <v>41</v>
      </c>
      <c r="B146" s="25" t="s">
        <v>74</v>
      </c>
      <c r="C146" s="26">
        <v>45549</v>
      </c>
      <c r="D146" s="25" t="s">
        <v>53</v>
      </c>
      <c r="E146" s="25" t="s">
        <v>54</v>
      </c>
      <c r="F146" s="25" t="s">
        <v>57</v>
      </c>
      <c r="G146" s="27">
        <v>22.4</v>
      </c>
      <c r="H146" s="28">
        <v>0.4375</v>
      </c>
      <c r="I146" s="25" t="s">
        <v>68</v>
      </c>
      <c r="J146" s="3" t="s">
        <v>55</v>
      </c>
      <c r="K146" s="25" t="s">
        <v>75</v>
      </c>
      <c r="L146" s="27">
        <v>11.2</v>
      </c>
      <c r="M146" s="38">
        <v>11.7</v>
      </c>
      <c r="N146" s="4">
        <v>18.399999999999999</v>
      </c>
      <c r="O146" s="43">
        <v>0.4</v>
      </c>
      <c r="P146" s="4">
        <v>237</v>
      </c>
      <c r="Q146" s="39">
        <v>12.5</v>
      </c>
      <c r="R146" s="4">
        <v>1.2989999999999999</v>
      </c>
      <c r="S146" s="4">
        <v>8.68</v>
      </c>
      <c r="T146" s="4">
        <v>30.88</v>
      </c>
      <c r="U146" s="4">
        <v>8.5340000000000007</v>
      </c>
      <c r="V146" s="36">
        <v>15.1717</v>
      </c>
      <c r="W146" s="36">
        <v>18.886900000000001</v>
      </c>
      <c r="X146" s="4">
        <v>2.4769999999999999</v>
      </c>
      <c r="Y146" s="4">
        <v>1.0841406134612919</v>
      </c>
      <c r="Z146" s="4">
        <v>4.4000000000000004</v>
      </c>
      <c r="AA146" s="4">
        <v>252</v>
      </c>
      <c r="AB146" s="4">
        <v>1230</v>
      </c>
    </row>
    <row r="147" spans="1:29" x14ac:dyDescent="0.25">
      <c r="A147" s="3">
        <v>42</v>
      </c>
      <c r="B147" s="25" t="s">
        <v>74</v>
      </c>
      <c r="C147" s="26">
        <v>45549</v>
      </c>
      <c r="D147" s="25" t="s">
        <v>53</v>
      </c>
      <c r="E147" s="25" t="s">
        <v>54</v>
      </c>
      <c r="F147" s="25" t="s">
        <v>57</v>
      </c>
      <c r="G147" s="27">
        <v>22.4</v>
      </c>
      <c r="H147" s="28">
        <v>0.4375</v>
      </c>
      <c r="I147" s="25" t="s">
        <v>68</v>
      </c>
      <c r="J147" s="3" t="s">
        <v>55</v>
      </c>
      <c r="K147" s="25" t="s">
        <v>38</v>
      </c>
      <c r="L147" s="27">
        <v>21.3</v>
      </c>
      <c r="M147" s="5">
        <v>42.9</v>
      </c>
      <c r="N147" s="43">
        <v>0.88</v>
      </c>
      <c r="O147" s="43">
        <v>0.4</v>
      </c>
      <c r="P147" s="4">
        <v>235</v>
      </c>
      <c r="Q147" s="39">
        <v>10.7</v>
      </c>
      <c r="R147" s="4">
        <v>1.252</v>
      </c>
      <c r="S147" s="4">
        <v>7.7619999999999996</v>
      </c>
      <c r="T147" s="4">
        <v>30.48</v>
      </c>
      <c r="U147" s="4">
        <v>8.52</v>
      </c>
      <c r="V147" s="36">
        <v>15.3376</v>
      </c>
      <c r="W147" s="36">
        <v>19.1067</v>
      </c>
      <c r="X147" s="4">
        <v>3.286</v>
      </c>
      <c r="Y147" s="4">
        <v>1.0446404131527367</v>
      </c>
      <c r="Z147" s="4">
        <v>1.6</v>
      </c>
      <c r="AA147" s="4">
        <v>181</v>
      </c>
      <c r="AB147" s="4">
        <v>674</v>
      </c>
    </row>
    <row r="148" spans="1:29" x14ac:dyDescent="0.25">
      <c r="A148" s="3">
        <v>118</v>
      </c>
      <c r="B148" s="25" t="s">
        <v>74</v>
      </c>
      <c r="C148" s="26">
        <v>45549</v>
      </c>
      <c r="D148" s="25" t="s">
        <v>53</v>
      </c>
      <c r="E148" s="25" t="s">
        <v>54</v>
      </c>
      <c r="F148" s="25" t="s">
        <v>57</v>
      </c>
      <c r="G148" s="27">
        <v>22.4</v>
      </c>
      <c r="H148" s="28">
        <v>0.4375</v>
      </c>
      <c r="I148" s="25" t="s">
        <v>68</v>
      </c>
      <c r="J148" s="3" t="s">
        <v>55</v>
      </c>
      <c r="K148" s="25" t="s">
        <v>76</v>
      </c>
      <c r="L148" s="27">
        <v>5</v>
      </c>
      <c r="M148" s="5">
        <v>24.2</v>
      </c>
      <c r="N148" s="43">
        <v>0.88</v>
      </c>
      <c r="O148" s="43">
        <v>0.4</v>
      </c>
      <c r="P148" s="4">
        <v>244</v>
      </c>
      <c r="Q148" s="4">
        <v>15.4</v>
      </c>
      <c r="R148" s="4">
        <v>1.323</v>
      </c>
      <c r="S148" s="4">
        <v>7.6440000000000001</v>
      </c>
      <c r="T148" s="4">
        <v>30.4</v>
      </c>
      <c r="U148" s="4">
        <v>8.5459999999999994</v>
      </c>
      <c r="V148" s="36">
        <v>15.612</v>
      </c>
      <c r="W148" s="36">
        <v>19.334599999999998</v>
      </c>
      <c r="X148" s="4">
        <v>2.4540000000000002</v>
      </c>
      <c r="Y148" s="4">
        <v>1.0873597018019145</v>
      </c>
      <c r="Z148" s="4">
        <v>4.4800000000000004</v>
      </c>
      <c r="AA148" s="4">
        <v>220</v>
      </c>
      <c r="AB148" s="4">
        <v>1200</v>
      </c>
    </row>
    <row r="149" spans="1:29" x14ac:dyDescent="0.25">
      <c r="A149" s="3">
        <v>24052</v>
      </c>
      <c r="B149" s="25" t="s">
        <v>77</v>
      </c>
      <c r="C149" s="26">
        <v>45433</v>
      </c>
      <c r="D149" s="25" t="s">
        <v>53</v>
      </c>
      <c r="E149" s="25" t="s">
        <v>54</v>
      </c>
      <c r="F149" s="25" t="s">
        <v>57</v>
      </c>
      <c r="G149" s="27">
        <v>22.3</v>
      </c>
      <c r="H149" s="28">
        <v>0.42222222222222222</v>
      </c>
      <c r="I149" s="25" t="s">
        <v>80</v>
      </c>
      <c r="J149" s="3" t="s">
        <v>55</v>
      </c>
      <c r="K149" s="25" t="s">
        <v>58</v>
      </c>
      <c r="L149" s="27">
        <v>5</v>
      </c>
      <c r="M149" s="38">
        <v>15.3</v>
      </c>
      <c r="N149" s="4">
        <v>175</v>
      </c>
      <c r="O149" s="43">
        <v>0.4</v>
      </c>
      <c r="P149" s="4">
        <v>359</v>
      </c>
      <c r="Q149" s="39">
        <v>6.16</v>
      </c>
      <c r="R149" s="4">
        <v>1.3069999999999999</v>
      </c>
      <c r="S149" s="4">
        <v>8.9280000000000008</v>
      </c>
      <c r="T149" s="4">
        <v>27.26</v>
      </c>
      <c r="U149" s="4">
        <v>8.2159999999999993</v>
      </c>
      <c r="V149" s="36">
        <v>15.374000000000001</v>
      </c>
      <c r="W149" s="36">
        <v>19.029199999999999</v>
      </c>
      <c r="X149" s="4">
        <v>2.6630760688506383</v>
      </c>
      <c r="Y149" s="4">
        <v>0.70226666329010978</v>
      </c>
      <c r="Z149" s="4">
        <v>1.43</v>
      </c>
      <c r="AA149" s="4">
        <v>248</v>
      </c>
      <c r="AB149" s="4">
        <v>991</v>
      </c>
    </row>
    <row r="150" spans="1:29" x14ac:dyDescent="0.25">
      <c r="A150" s="3">
        <v>24053</v>
      </c>
      <c r="B150" s="25" t="s">
        <v>77</v>
      </c>
      <c r="C150" s="26">
        <v>45433</v>
      </c>
      <c r="D150" s="25" t="s">
        <v>53</v>
      </c>
      <c r="E150" s="25" t="s">
        <v>54</v>
      </c>
      <c r="F150" s="25" t="s">
        <v>57</v>
      </c>
      <c r="G150" s="27">
        <v>22.3</v>
      </c>
      <c r="H150" s="28">
        <v>0.42222222222222222</v>
      </c>
      <c r="I150" s="25" t="s">
        <v>80</v>
      </c>
      <c r="J150" s="3" t="s">
        <v>55</v>
      </c>
      <c r="K150" s="25" t="s">
        <v>75</v>
      </c>
      <c r="L150" s="27">
        <v>17</v>
      </c>
      <c r="M150" s="38">
        <v>14.6</v>
      </c>
      <c r="N150" s="4">
        <v>27.2</v>
      </c>
      <c r="O150" s="43">
        <v>0.4</v>
      </c>
      <c r="P150" s="4">
        <v>278.87982759201623</v>
      </c>
      <c r="Q150" s="39">
        <v>10.199999999999999</v>
      </c>
      <c r="R150" s="4">
        <v>1.3089999999999999</v>
      </c>
      <c r="S150" s="4">
        <v>8.75</v>
      </c>
      <c r="T150" s="4">
        <v>27.7</v>
      </c>
      <c r="U150" s="4">
        <v>8.2240000000000002</v>
      </c>
      <c r="V150" s="36">
        <v>15.2744</v>
      </c>
      <c r="W150" s="36">
        <v>19.041499999999999</v>
      </c>
      <c r="X150" s="4">
        <v>2.5217656857301503</v>
      </c>
      <c r="Y150" s="4">
        <v>0.61910762351575921</v>
      </c>
      <c r="Z150" s="4">
        <v>2.44</v>
      </c>
      <c r="AA150" s="4">
        <v>156</v>
      </c>
      <c r="AB150" s="4">
        <v>1100</v>
      </c>
    </row>
    <row r="151" spans="1:29" x14ac:dyDescent="0.25">
      <c r="A151" s="3">
        <v>24054</v>
      </c>
      <c r="B151" s="25" t="s">
        <v>77</v>
      </c>
      <c r="C151" s="26">
        <v>45433</v>
      </c>
      <c r="D151" s="25" t="s">
        <v>53</v>
      </c>
      <c r="E151" s="25" t="s">
        <v>54</v>
      </c>
      <c r="F151" s="25" t="s">
        <v>57</v>
      </c>
      <c r="G151" s="27">
        <v>22.3</v>
      </c>
      <c r="H151" s="28">
        <v>0.42222222222222222</v>
      </c>
      <c r="I151" s="25" t="s">
        <v>80</v>
      </c>
      <c r="J151" s="3" t="s">
        <v>55</v>
      </c>
      <c r="K151" s="25" t="s">
        <v>38</v>
      </c>
      <c r="L151" s="27">
        <v>21.2</v>
      </c>
      <c r="M151" s="3">
        <v>29.6</v>
      </c>
      <c r="N151" s="4">
        <v>41.2</v>
      </c>
      <c r="O151" s="39">
        <v>1.45</v>
      </c>
      <c r="P151" s="4">
        <v>250</v>
      </c>
      <c r="Q151" s="39">
        <v>6.95</v>
      </c>
      <c r="R151" s="4">
        <v>1.292</v>
      </c>
      <c r="S151" s="4">
        <v>8.8640000000000008</v>
      </c>
      <c r="T151" s="4">
        <v>29.54</v>
      </c>
      <c r="U151" s="4">
        <v>8.3699999999999992</v>
      </c>
      <c r="V151" s="36">
        <v>15.233000000000001</v>
      </c>
      <c r="W151" s="36">
        <v>19.1282</v>
      </c>
      <c r="X151" s="4">
        <v>2.4420877290394225</v>
      </c>
      <c r="Y151" s="4">
        <v>1.1689755599828944</v>
      </c>
      <c r="Z151" s="4">
        <v>4.5199999999999996</v>
      </c>
      <c r="AA151" s="6">
        <v>173</v>
      </c>
      <c r="AB151" s="6">
        <v>990</v>
      </c>
    </row>
    <row r="152" spans="1:29" x14ac:dyDescent="0.25">
      <c r="A152" s="3">
        <v>24237</v>
      </c>
      <c r="B152" s="33" t="s">
        <v>77</v>
      </c>
      <c r="C152" s="26">
        <v>45500</v>
      </c>
      <c r="D152" s="33" t="s">
        <v>105</v>
      </c>
      <c r="E152" s="25" t="s">
        <v>54</v>
      </c>
      <c r="F152" s="25" t="s">
        <v>57</v>
      </c>
      <c r="G152" s="25">
        <v>22</v>
      </c>
      <c r="H152" s="28">
        <v>0.65486111111111112</v>
      </c>
      <c r="I152" s="33" t="s">
        <v>80</v>
      </c>
      <c r="J152" s="49" t="s">
        <v>95</v>
      </c>
      <c r="K152" s="33" t="s">
        <v>58</v>
      </c>
      <c r="L152" s="25">
        <v>1.82</v>
      </c>
      <c r="M152" s="38">
        <v>5.99</v>
      </c>
      <c r="N152" s="43">
        <v>0.88</v>
      </c>
      <c r="O152" s="43">
        <v>0.4</v>
      </c>
      <c r="P152" s="4">
        <v>237</v>
      </c>
      <c r="Q152" s="39">
        <v>6.65</v>
      </c>
      <c r="R152" s="4">
        <v>1.296</v>
      </c>
      <c r="S152" s="4">
        <v>8.51</v>
      </c>
      <c r="T152" s="4">
        <v>30.76</v>
      </c>
      <c r="U152" s="4">
        <v>8.2680000000000007</v>
      </c>
      <c r="V152" s="36">
        <v>14.6991</v>
      </c>
      <c r="W152" s="36">
        <v>18.340199999999999</v>
      </c>
      <c r="X152" s="4">
        <v>2.5110000000000001</v>
      </c>
      <c r="Y152" s="43">
        <v>0.05</v>
      </c>
      <c r="Z152" s="4">
        <v>2.68</v>
      </c>
      <c r="AA152" s="4">
        <v>326</v>
      </c>
      <c r="AB152" s="4">
        <v>2390</v>
      </c>
    </row>
    <row r="153" spans="1:29" x14ac:dyDescent="0.25">
      <c r="A153" s="3">
        <v>24238</v>
      </c>
      <c r="B153" s="33" t="s">
        <v>77</v>
      </c>
      <c r="C153" s="26">
        <v>45500</v>
      </c>
      <c r="D153" s="33" t="s">
        <v>105</v>
      </c>
      <c r="E153" s="25" t="s">
        <v>54</v>
      </c>
      <c r="F153" s="25" t="s">
        <v>57</v>
      </c>
      <c r="G153" s="25">
        <v>22</v>
      </c>
      <c r="H153" s="28">
        <v>0.65486111111111112</v>
      </c>
      <c r="I153" s="33" t="s">
        <v>80</v>
      </c>
      <c r="J153" s="49" t="s">
        <v>95</v>
      </c>
      <c r="K153" s="33" t="s">
        <v>75</v>
      </c>
      <c r="L153" s="25">
        <v>18.5</v>
      </c>
      <c r="M153" s="38">
        <v>10.1</v>
      </c>
      <c r="N153" s="39">
        <v>3.39</v>
      </c>
      <c r="O153" s="43">
        <v>0.4</v>
      </c>
      <c r="P153" s="4">
        <v>243</v>
      </c>
      <c r="Q153" s="39">
        <v>12.7</v>
      </c>
      <c r="R153" s="4">
        <v>1.286</v>
      </c>
      <c r="S153" s="4">
        <v>8.3119999999999994</v>
      </c>
      <c r="T153" s="4">
        <v>29.26</v>
      </c>
      <c r="U153" s="4">
        <v>8.2279999999999998</v>
      </c>
      <c r="V153" s="36">
        <v>14.806900000000001</v>
      </c>
      <c r="W153" s="36">
        <v>18.415299999999998</v>
      </c>
      <c r="X153" s="4">
        <v>2.6040000000000001</v>
      </c>
      <c r="Y153" s="43">
        <v>0.05</v>
      </c>
      <c r="Z153" s="4">
        <v>5.44</v>
      </c>
      <c r="AA153" s="4">
        <v>467</v>
      </c>
      <c r="AB153" s="4">
        <v>2530</v>
      </c>
    </row>
    <row r="154" spans="1:29" x14ac:dyDescent="0.25">
      <c r="A154" s="45">
        <v>24239</v>
      </c>
      <c r="B154" s="33" t="s">
        <v>77</v>
      </c>
      <c r="C154" s="26">
        <v>45500</v>
      </c>
      <c r="D154" s="33" t="s">
        <v>105</v>
      </c>
      <c r="E154" s="25" t="s">
        <v>54</v>
      </c>
      <c r="F154" s="25" t="s">
        <v>57</v>
      </c>
      <c r="G154" s="25">
        <v>22</v>
      </c>
      <c r="H154" s="28">
        <v>0.65486111111111112</v>
      </c>
      <c r="I154" s="33" t="s">
        <v>80</v>
      </c>
      <c r="J154" s="49" t="s">
        <v>95</v>
      </c>
      <c r="K154" s="33" t="s">
        <v>38</v>
      </c>
      <c r="L154" s="25">
        <v>19.3</v>
      </c>
      <c r="M154" s="3">
        <v>43.6</v>
      </c>
      <c r="N154" s="4">
        <v>97.7</v>
      </c>
      <c r="O154" s="39">
        <v>1.1000000000000001</v>
      </c>
      <c r="P154" s="4">
        <v>371</v>
      </c>
      <c r="Q154" s="39">
        <v>8.16</v>
      </c>
      <c r="R154" s="4">
        <v>1.4039999999999999</v>
      </c>
      <c r="S154" s="4">
        <v>8.3260000000000005</v>
      </c>
      <c r="T154" s="4">
        <v>27.36</v>
      </c>
      <c r="U154" s="4">
        <v>8.3160000000000007</v>
      </c>
      <c r="V154" s="36">
        <v>15.052899999999999</v>
      </c>
      <c r="W154" s="36">
        <v>18.424499999999998</v>
      </c>
      <c r="X154" s="4">
        <v>2.419</v>
      </c>
      <c r="Y154" s="4">
        <v>2.0998696168974664</v>
      </c>
      <c r="Z154" s="4">
        <v>2.56</v>
      </c>
      <c r="AA154" s="4">
        <v>226</v>
      </c>
      <c r="AB154" s="4">
        <v>1420</v>
      </c>
    </row>
    <row r="155" spans="1:29" x14ac:dyDescent="0.25">
      <c r="A155" s="9">
        <v>34</v>
      </c>
      <c r="B155" s="25" t="s">
        <v>77</v>
      </c>
      <c r="C155" s="26">
        <v>45549</v>
      </c>
      <c r="D155" s="25" t="s">
        <v>53</v>
      </c>
      <c r="E155" s="25" t="s">
        <v>54</v>
      </c>
      <c r="F155" s="25" t="s">
        <v>57</v>
      </c>
      <c r="G155" s="27">
        <v>22.3</v>
      </c>
      <c r="H155" s="28">
        <v>0.50694444444444442</v>
      </c>
      <c r="I155" s="25" t="s">
        <v>68</v>
      </c>
      <c r="J155" s="3" t="s">
        <v>55</v>
      </c>
      <c r="K155" s="25" t="s">
        <v>58</v>
      </c>
      <c r="L155" s="27">
        <v>5</v>
      </c>
      <c r="M155" s="40">
        <v>10.9</v>
      </c>
      <c r="N155" s="43">
        <v>0.88</v>
      </c>
      <c r="O155" s="43">
        <v>0.4</v>
      </c>
      <c r="P155" s="4">
        <v>248</v>
      </c>
      <c r="Q155" s="4">
        <v>18.600000000000001</v>
      </c>
      <c r="R155" s="4">
        <v>1.2430000000000001</v>
      </c>
      <c r="S155" s="4">
        <v>7.44</v>
      </c>
      <c r="T155" s="4">
        <v>29.44</v>
      </c>
      <c r="U155" s="4">
        <v>8.3620000000000001</v>
      </c>
      <c r="V155" s="36">
        <v>14.910399999999999</v>
      </c>
      <c r="W155" s="36">
        <v>18.578199999999999</v>
      </c>
      <c r="X155" s="4">
        <v>2.4089999999999998</v>
      </c>
      <c r="Y155" s="4">
        <v>0.93897058409246814</v>
      </c>
      <c r="Z155" s="4">
        <v>5.44</v>
      </c>
      <c r="AA155" s="4">
        <v>247</v>
      </c>
      <c r="AB155" s="4">
        <v>1370</v>
      </c>
      <c r="AC155" t="s">
        <v>91</v>
      </c>
    </row>
    <row r="156" spans="1:29" x14ac:dyDescent="0.25">
      <c r="A156" s="9">
        <v>35</v>
      </c>
      <c r="B156" s="25" t="s">
        <v>77</v>
      </c>
      <c r="C156" s="26">
        <v>45549</v>
      </c>
      <c r="D156" s="25" t="s">
        <v>53</v>
      </c>
      <c r="E156" s="25" t="s">
        <v>54</v>
      </c>
      <c r="F156" s="25" t="s">
        <v>57</v>
      </c>
      <c r="G156" s="27">
        <v>22.3</v>
      </c>
      <c r="H156" s="28">
        <v>0.50694444444444442</v>
      </c>
      <c r="I156" s="25" t="s">
        <v>68</v>
      </c>
      <c r="J156" s="3" t="s">
        <v>55</v>
      </c>
      <c r="K156" s="25" t="s">
        <v>75</v>
      </c>
      <c r="L156" s="27">
        <v>11.2</v>
      </c>
      <c r="M156" s="40">
        <v>12.4</v>
      </c>
      <c r="N156" s="39">
        <v>2.73</v>
      </c>
      <c r="O156" s="43">
        <v>0.4</v>
      </c>
      <c r="P156" s="4">
        <v>229</v>
      </c>
      <c r="Q156" s="4">
        <v>28.9</v>
      </c>
      <c r="R156" s="4">
        <v>1.2789999999999999</v>
      </c>
      <c r="S156" s="4">
        <v>8.5</v>
      </c>
      <c r="T156" s="4">
        <v>30.26</v>
      </c>
      <c r="U156" s="4">
        <v>8.4260000000000002</v>
      </c>
      <c r="V156" s="36">
        <v>15.4254</v>
      </c>
      <c r="W156" s="36">
        <v>19.3431</v>
      </c>
      <c r="X156" s="4">
        <v>2.38</v>
      </c>
      <c r="Y156" s="4">
        <v>0.9164825472052035</v>
      </c>
      <c r="Z156" s="4">
        <v>4.5999999999999996</v>
      </c>
      <c r="AA156" s="4">
        <v>222</v>
      </c>
      <c r="AB156" s="4">
        <v>1200</v>
      </c>
    </row>
    <row r="157" spans="1:29" x14ac:dyDescent="0.25">
      <c r="A157" s="9">
        <v>36</v>
      </c>
      <c r="B157" s="25" t="s">
        <v>77</v>
      </c>
      <c r="C157" s="26">
        <v>45549</v>
      </c>
      <c r="D157" s="25" t="s">
        <v>53</v>
      </c>
      <c r="E157" s="25" t="s">
        <v>54</v>
      </c>
      <c r="F157" s="25" t="s">
        <v>57</v>
      </c>
      <c r="G157" s="27">
        <v>22.3</v>
      </c>
      <c r="H157" s="28">
        <v>0.50694444444444442</v>
      </c>
      <c r="I157" s="25" t="s">
        <v>68</v>
      </c>
      <c r="J157" s="3" t="s">
        <v>55</v>
      </c>
      <c r="K157" s="25" t="s">
        <v>38</v>
      </c>
      <c r="L157" s="27">
        <v>21.2</v>
      </c>
      <c r="M157" s="5">
        <v>19.399999999999999</v>
      </c>
      <c r="N157" s="43">
        <v>0.88</v>
      </c>
      <c r="O157" s="43">
        <v>0.4</v>
      </c>
      <c r="P157" s="4">
        <v>213</v>
      </c>
      <c r="Q157" s="39">
        <v>13.1</v>
      </c>
      <c r="R157" s="4">
        <v>1.232</v>
      </c>
      <c r="S157" s="4">
        <v>7.6</v>
      </c>
      <c r="T157" s="4">
        <v>29.48</v>
      </c>
      <c r="U157" s="4">
        <v>8.4540000000000006</v>
      </c>
      <c r="V157" s="36">
        <v>15.420199999999999</v>
      </c>
      <c r="W157" s="36">
        <v>19.252800000000001</v>
      </c>
      <c r="X157" s="4">
        <v>2.3330000000000002</v>
      </c>
      <c r="Y157" s="4">
        <v>0.93357026266487464</v>
      </c>
      <c r="Z157" s="4">
        <v>3</v>
      </c>
      <c r="AA157" s="6">
        <v>224</v>
      </c>
      <c r="AB157" s="4">
        <v>1030</v>
      </c>
    </row>
    <row r="158" spans="1:29" x14ac:dyDescent="0.25">
      <c r="A158" s="45">
        <v>24001</v>
      </c>
      <c r="B158" s="25" t="s">
        <v>59</v>
      </c>
      <c r="C158" s="26">
        <v>45432</v>
      </c>
      <c r="D158" s="25" t="s">
        <v>53</v>
      </c>
      <c r="E158" s="25" t="s">
        <v>54</v>
      </c>
      <c r="F158" s="25" t="s">
        <v>57</v>
      </c>
      <c r="G158" s="27">
        <v>9</v>
      </c>
      <c r="H158" s="28">
        <v>0.70138888888888884</v>
      </c>
      <c r="I158" s="25" t="s">
        <v>68</v>
      </c>
      <c r="J158" s="3" t="s">
        <v>55</v>
      </c>
      <c r="K158" s="25" t="s">
        <v>75</v>
      </c>
      <c r="L158" s="27">
        <v>4.5</v>
      </c>
      <c r="M158" s="3">
        <v>19.8</v>
      </c>
      <c r="N158" s="4">
        <v>445</v>
      </c>
      <c r="O158" s="39">
        <v>0.95499999999999996</v>
      </c>
      <c r="P158" s="4">
        <v>624</v>
      </c>
      <c r="Q158" s="4">
        <v>51.1</v>
      </c>
      <c r="R158" s="4">
        <v>1.147</v>
      </c>
      <c r="S158" s="4">
        <v>7.95</v>
      </c>
      <c r="T158" s="4">
        <v>27.44</v>
      </c>
      <c r="U158" s="4">
        <v>8.4580000000000002</v>
      </c>
      <c r="V158" s="36">
        <v>14.4818</v>
      </c>
      <c r="W158" s="36">
        <v>17.778199999999998</v>
      </c>
      <c r="X158" s="4">
        <v>2.7830094392004443</v>
      </c>
      <c r="Y158" s="4">
        <v>0.83803652414619278</v>
      </c>
      <c r="Z158" s="4">
        <v>2.36</v>
      </c>
      <c r="AA158" s="6">
        <v>194</v>
      </c>
      <c r="AB158" s="6">
        <v>1020</v>
      </c>
    </row>
    <row r="159" spans="1:29" x14ac:dyDescent="0.25">
      <c r="A159" s="3">
        <v>24002</v>
      </c>
      <c r="B159" s="25" t="s">
        <v>59</v>
      </c>
      <c r="C159" s="26">
        <v>45432</v>
      </c>
      <c r="D159" s="25" t="s">
        <v>53</v>
      </c>
      <c r="E159" s="25" t="s">
        <v>54</v>
      </c>
      <c r="F159" s="25" t="s">
        <v>57</v>
      </c>
      <c r="G159" s="27">
        <v>9</v>
      </c>
      <c r="H159" s="28">
        <v>0.70138888888888884</v>
      </c>
      <c r="I159" s="25" t="s">
        <v>68</v>
      </c>
      <c r="J159" s="3" t="s">
        <v>55</v>
      </c>
      <c r="K159" s="25" t="s">
        <v>38</v>
      </c>
      <c r="L159" s="27">
        <v>8</v>
      </c>
      <c r="M159" s="3">
        <v>20</v>
      </c>
      <c r="N159" s="4">
        <v>476</v>
      </c>
      <c r="O159" s="39">
        <v>0.98599999999999999</v>
      </c>
      <c r="P159" s="4">
        <v>640</v>
      </c>
      <c r="Q159" s="39">
        <v>10.8</v>
      </c>
      <c r="R159" s="4">
        <v>1.181</v>
      </c>
      <c r="S159" s="4">
        <v>8.2720000000000002</v>
      </c>
      <c r="T159" s="4">
        <v>28.4</v>
      </c>
      <c r="U159" s="4">
        <v>8.6159999999999997</v>
      </c>
      <c r="V159" s="36">
        <v>14.9436</v>
      </c>
      <c r="W159" s="36">
        <v>18.1601</v>
      </c>
      <c r="X159" s="4">
        <v>2.7061539885248935</v>
      </c>
      <c r="Y159" s="4">
        <v>1.0926050132513481</v>
      </c>
      <c r="Z159" s="4">
        <v>2.3199999999999998</v>
      </c>
      <c r="AA159" s="4">
        <v>273</v>
      </c>
      <c r="AB159" s="4">
        <v>1090</v>
      </c>
    </row>
    <row r="160" spans="1:29" x14ac:dyDescent="0.25">
      <c r="A160" s="3">
        <v>24205</v>
      </c>
      <c r="B160" s="25" t="s">
        <v>59</v>
      </c>
      <c r="C160" s="26">
        <v>45497</v>
      </c>
      <c r="D160" s="33" t="s">
        <v>105</v>
      </c>
      <c r="E160" s="25" t="s">
        <v>54</v>
      </c>
      <c r="F160" s="25" t="s">
        <v>57</v>
      </c>
      <c r="G160" s="25">
        <v>8.1999999999999993</v>
      </c>
      <c r="H160" s="28">
        <v>0.65208333333333335</v>
      </c>
      <c r="I160" s="25" t="s">
        <v>56</v>
      </c>
      <c r="J160" s="3" t="s">
        <v>55</v>
      </c>
      <c r="K160" s="25" t="s">
        <v>58</v>
      </c>
      <c r="L160" s="25">
        <v>2.02</v>
      </c>
      <c r="M160" s="38">
        <v>15.1</v>
      </c>
      <c r="N160" s="4">
        <v>222</v>
      </c>
      <c r="O160" s="39">
        <v>0.84499999999999997</v>
      </c>
      <c r="P160" s="4">
        <v>529</v>
      </c>
      <c r="Q160" s="39">
        <v>9.94</v>
      </c>
      <c r="R160" s="4">
        <v>1.2729999999999999</v>
      </c>
      <c r="S160" s="4">
        <v>7.64</v>
      </c>
      <c r="T160" s="4">
        <v>26.34</v>
      </c>
      <c r="U160" s="4">
        <v>8.6180000000000003</v>
      </c>
      <c r="V160" s="36">
        <v>13.3591</v>
      </c>
      <c r="W160" s="36">
        <v>17.795500000000001</v>
      </c>
      <c r="X160" s="4">
        <v>2.6080000000000001</v>
      </c>
      <c r="Y160" s="4">
        <v>1.836431421432271</v>
      </c>
      <c r="Z160" s="4">
        <v>12.44</v>
      </c>
      <c r="AA160" s="4">
        <v>428</v>
      </c>
      <c r="AB160" s="4">
        <v>3760</v>
      </c>
    </row>
    <row r="161" spans="1:28" x14ac:dyDescent="0.25">
      <c r="A161" s="45">
        <v>24207</v>
      </c>
      <c r="B161" s="25" t="s">
        <v>59</v>
      </c>
      <c r="C161" s="26">
        <v>45497</v>
      </c>
      <c r="D161" s="33" t="s">
        <v>105</v>
      </c>
      <c r="E161" s="25" t="s">
        <v>54</v>
      </c>
      <c r="F161" s="25" t="s">
        <v>57</v>
      </c>
      <c r="G161" s="25">
        <v>8.1999999999999993</v>
      </c>
      <c r="H161" s="28">
        <v>0.65208333333333335</v>
      </c>
      <c r="I161" s="25" t="s">
        <v>56</v>
      </c>
      <c r="J161" s="3" t="s">
        <v>55</v>
      </c>
      <c r="K161" s="25" t="s">
        <v>38</v>
      </c>
      <c r="L161" s="25">
        <v>6.03</v>
      </c>
      <c r="M161" s="3">
        <v>23.6</v>
      </c>
      <c r="N161" s="4">
        <v>234</v>
      </c>
      <c r="O161" s="39">
        <v>1.17</v>
      </c>
      <c r="P161" s="4">
        <v>509</v>
      </c>
      <c r="Q161" s="4">
        <v>16.899999999999999</v>
      </c>
      <c r="R161" s="4">
        <v>1.274</v>
      </c>
      <c r="S161" s="4">
        <v>7.8159999999999998</v>
      </c>
      <c r="T161" s="4">
        <v>27.86</v>
      </c>
      <c r="U161" s="4">
        <v>8.6760000000000002</v>
      </c>
      <c r="V161" s="36">
        <v>13.265000000000001</v>
      </c>
      <c r="W161" s="36">
        <v>17.670000000000002</v>
      </c>
      <c r="X161" s="4">
        <v>2.883</v>
      </c>
      <c r="Y161" s="4">
        <v>1.8891190605253103</v>
      </c>
      <c r="Z161" s="4">
        <v>9.7200000000000006</v>
      </c>
      <c r="AA161" s="6">
        <v>373</v>
      </c>
      <c r="AB161" s="6">
        <v>3420</v>
      </c>
    </row>
    <row r="162" spans="1:28" x14ac:dyDescent="0.25">
      <c r="A162" s="3">
        <v>10</v>
      </c>
      <c r="B162" s="25" t="s">
        <v>59</v>
      </c>
      <c r="C162" s="26">
        <v>45548</v>
      </c>
      <c r="D162" s="25" t="s">
        <v>53</v>
      </c>
      <c r="E162" s="25" t="s">
        <v>54</v>
      </c>
      <c r="F162" s="25" t="s">
        <v>57</v>
      </c>
      <c r="G162" s="27">
        <v>9.3000000000000007</v>
      </c>
      <c r="H162" s="28">
        <v>0.72222222222222221</v>
      </c>
      <c r="I162" s="25" t="s">
        <v>68</v>
      </c>
      <c r="J162" s="3" t="s">
        <v>55</v>
      </c>
      <c r="K162" s="25" t="s">
        <v>58</v>
      </c>
      <c r="L162" s="27">
        <v>4.5</v>
      </c>
      <c r="M162" s="38">
        <v>15</v>
      </c>
      <c r="N162" s="4">
        <v>98.3</v>
      </c>
      <c r="O162" s="43">
        <v>0.4</v>
      </c>
      <c r="P162" s="4">
        <v>415</v>
      </c>
      <c r="Q162" s="4">
        <v>21.4</v>
      </c>
      <c r="R162" s="4">
        <v>1.075</v>
      </c>
      <c r="S162" s="4">
        <v>6.5759999999999996</v>
      </c>
      <c r="T162" s="4">
        <v>25.8</v>
      </c>
      <c r="U162" s="4">
        <v>8.0239999999999991</v>
      </c>
      <c r="V162" s="36">
        <v>11.854799999999999</v>
      </c>
      <c r="W162" s="36">
        <v>17.116499999999998</v>
      </c>
      <c r="X162" s="4">
        <v>2.423</v>
      </c>
      <c r="Y162" s="4">
        <v>2.1857249539658952</v>
      </c>
      <c r="Z162" s="4">
        <v>5.6</v>
      </c>
      <c r="AA162" s="4">
        <v>438</v>
      </c>
      <c r="AB162" s="4">
        <v>2300</v>
      </c>
    </row>
    <row r="163" spans="1:28" x14ac:dyDescent="0.25">
      <c r="A163" s="3">
        <v>12</v>
      </c>
      <c r="B163" s="25" t="s">
        <v>59</v>
      </c>
      <c r="C163" s="26">
        <v>45548</v>
      </c>
      <c r="D163" s="25" t="s">
        <v>53</v>
      </c>
      <c r="E163" s="25" t="s">
        <v>54</v>
      </c>
      <c r="F163" s="25" t="s">
        <v>57</v>
      </c>
      <c r="G163" s="27">
        <v>9.3000000000000007</v>
      </c>
      <c r="H163" s="28">
        <v>0.72222222222222221</v>
      </c>
      <c r="I163" s="25" t="s">
        <v>68</v>
      </c>
      <c r="J163" s="3" t="s">
        <v>55</v>
      </c>
      <c r="K163" s="25" t="s">
        <v>38</v>
      </c>
      <c r="L163" s="27">
        <v>8.3000000000000007</v>
      </c>
      <c r="M163" s="3">
        <v>28</v>
      </c>
      <c r="N163" s="4">
        <v>107</v>
      </c>
      <c r="O163" s="43">
        <v>0.4</v>
      </c>
      <c r="P163" s="4">
        <v>368</v>
      </c>
      <c r="Q163" s="4">
        <v>17.600000000000001</v>
      </c>
      <c r="R163" s="4">
        <v>1.196</v>
      </c>
      <c r="S163" s="4">
        <v>6.6440000000000001</v>
      </c>
      <c r="T163" s="4">
        <v>26.46</v>
      </c>
      <c r="U163" s="4">
        <v>8.0779999999999994</v>
      </c>
      <c r="V163" s="36">
        <v>11.7437</v>
      </c>
      <c r="W163" s="36">
        <v>17.0137</v>
      </c>
      <c r="X163" s="4">
        <v>2.5030000000000001</v>
      </c>
      <c r="Y163" s="4">
        <v>2.1809734912208656</v>
      </c>
      <c r="Z163" s="4">
        <v>8.8800000000000008</v>
      </c>
      <c r="AA163" s="4">
        <v>377</v>
      </c>
      <c r="AB163" s="4">
        <v>1890</v>
      </c>
    </row>
    <row r="164" spans="1:28" x14ac:dyDescent="0.25">
      <c r="A164" s="3">
        <v>24005</v>
      </c>
      <c r="B164" s="25" t="s">
        <v>61</v>
      </c>
      <c r="C164" s="26">
        <v>45432</v>
      </c>
      <c r="D164" s="25" t="s">
        <v>53</v>
      </c>
      <c r="E164" s="25" t="s">
        <v>54</v>
      </c>
      <c r="F164" s="25" t="s">
        <v>57</v>
      </c>
      <c r="G164" s="27">
        <v>8.1</v>
      </c>
      <c r="H164" s="28">
        <v>0.76388888888888884</v>
      </c>
      <c r="I164" s="25" t="s">
        <v>68</v>
      </c>
      <c r="J164" s="3" t="s">
        <v>55</v>
      </c>
      <c r="K164" s="25" t="s">
        <v>75</v>
      </c>
      <c r="L164" s="27">
        <v>4</v>
      </c>
      <c r="M164" s="38">
        <v>12</v>
      </c>
      <c r="N164" s="4">
        <v>702</v>
      </c>
      <c r="O164" s="39">
        <v>1.37</v>
      </c>
      <c r="P164" s="4">
        <v>900</v>
      </c>
      <c r="Q164" s="4">
        <v>19.5</v>
      </c>
      <c r="R164" s="4">
        <v>1.3939999999999999</v>
      </c>
      <c r="S164" s="4">
        <v>9.4280000000000008</v>
      </c>
      <c r="T164" s="4">
        <v>30.42</v>
      </c>
      <c r="U164" s="4">
        <v>9.1639999999999997</v>
      </c>
      <c r="V164" s="36">
        <v>16.861799999999999</v>
      </c>
      <c r="W164" s="36">
        <v>19.838799999999999</v>
      </c>
      <c r="X164" s="4">
        <v>3.0318989450305383</v>
      </c>
      <c r="Y164" s="4">
        <v>1.2708029556249565</v>
      </c>
      <c r="Z164" s="4">
        <v>6.48</v>
      </c>
      <c r="AA164" s="4">
        <v>354</v>
      </c>
      <c r="AB164" s="4">
        <v>1730</v>
      </c>
    </row>
    <row r="165" spans="1:28" x14ac:dyDescent="0.25">
      <c r="A165" s="3">
        <v>24006</v>
      </c>
      <c r="B165" s="25" t="s">
        <v>61</v>
      </c>
      <c r="C165" s="26">
        <v>45432</v>
      </c>
      <c r="D165" s="25" t="s">
        <v>53</v>
      </c>
      <c r="E165" s="25" t="s">
        <v>54</v>
      </c>
      <c r="F165" s="25" t="s">
        <v>57</v>
      </c>
      <c r="G165" s="27">
        <v>8.1</v>
      </c>
      <c r="H165" s="28">
        <v>0.76388888888888884</v>
      </c>
      <c r="I165" s="25" t="s">
        <v>68</v>
      </c>
      <c r="J165" s="3" t="s">
        <v>55</v>
      </c>
      <c r="K165" s="25" t="s">
        <v>38</v>
      </c>
      <c r="L165" s="27">
        <v>7.1</v>
      </c>
      <c r="M165" s="38">
        <v>13.6</v>
      </c>
      <c r="N165" s="4">
        <v>654</v>
      </c>
      <c r="O165" s="39">
        <v>1.61</v>
      </c>
      <c r="P165" s="4">
        <v>882</v>
      </c>
      <c r="Q165" s="4">
        <v>16.100000000000001</v>
      </c>
      <c r="R165" s="4">
        <v>1.409</v>
      </c>
      <c r="S165" s="4">
        <v>9.4039999999999999</v>
      </c>
      <c r="T165" s="4">
        <v>29.5</v>
      </c>
      <c r="U165" s="4">
        <v>8.8740000000000006</v>
      </c>
      <c r="V165" s="36">
        <v>16.3063</v>
      </c>
      <c r="W165" s="36">
        <v>19.426100000000002</v>
      </c>
      <c r="X165" s="4">
        <v>3.244280955024986</v>
      </c>
      <c r="Y165" s="4">
        <v>1.3726303512670188</v>
      </c>
      <c r="Z165" s="4">
        <v>5.08</v>
      </c>
      <c r="AA165" s="4">
        <v>230</v>
      </c>
      <c r="AB165" s="4">
        <v>1390</v>
      </c>
    </row>
    <row r="166" spans="1:28" x14ac:dyDescent="0.25">
      <c r="A166" s="3">
        <v>24197</v>
      </c>
      <c r="B166" s="25" t="s">
        <v>61</v>
      </c>
      <c r="C166" s="26">
        <v>45498</v>
      </c>
      <c r="D166" s="33" t="s">
        <v>105</v>
      </c>
      <c r="E166" s="25" t="s">
        <v>54</v>
      </c>
      <c r="F166" s="25" t="s">
        <v>57</v>
      </c>
      <c r="G166" s="25">
        <v>6.9</v>
      </c>
      <c r="H166" s="28">
        <v>0.36874999999999997</v>
      </c>
      <c r="I166" s="25" t="s">
        <v>56</v>
      </c>
      <c r="J166" s="3" t="s">
        <v>55</v>
      </c>
      <c r="K166" s="25" t="s">
        <v>58</v>
      </c>
      <c r="L166" s="25">
        <v>2.12</v>
      </c>
      <c r="M166" s="38">
        <v>12.3</v>
      </c>
      <c r="N166" s="4">
        <v>201</v>
      </c>
      <c r="O166" s="43">
        <v>0.4</v>
      </c>
      <c r="P166" s="4">
        <v>478</v>
      </c>
      <c r="Q166" s="39">
        <v>12.1</v>
      </c>
      <c r="R166" s="4">
        <v>1.18</v>
      </c>
      <c r="S166" s="4">
        <v>7.9619999999999997</v>
      </c>
      <c r="T166" s="4">
        <v>26.6</v>
      </c>
      <c r="U166" s="4">
        <v>8.3640000000000008</v>
      </c>
      <c r="V166" s="36">
        <v>13.666399999999999</v>
      </c>
      <c r="W166" s="36">
        <v>17.4084</v>
      </c>
      <c r="X166" s="4">
        <v>2.5619999999999998</v>
      </c>
      <c r="Y166" s="4">
        <v>1.7925250555214052</v>
      </c>
      <c r="Z166" s="4">
        <v>4.72</v>
      </c>
      <c r="AA166" s="4">
        <v>570</v>
      </c>
      <c r="AB166" s="4">
        <v>5510</v>
      </c>
    </row>
    <row r="167" spans="1:28" x14ac:dyDescent="0.25">
      <c r="A167" s="3">
        <v>24199</v>
      </c>
      <c r="B167" s="25" t="s">
        <v>61</v>
      </c>
      <c r="C167" s="26">
        <v>45498</v>
      </c>
      <c r="D167" s="33" t="s">
        <v>105</v>
      </c>
      <c r="E167" s="25" t="s">
        <v>54</v>
      </c>
      <c r="F167" s="25" t="s">
        <v>57</v>
      </c>
      <c r="G167" s="25">
        <v>6.9</v>
      </c>
      <c r="H167" s="28">
        <v>0.36874999999999997</v>
      </c>
      <c r="I167" s="25" t="s">
        <v>56</v>
      </c>
      <c r="J167" s="3" t="s">
        <v>55</v>
      </c>
      <c r="K167" s="25" t="s">
        <v>38</v>
      </c>
      <c r="L167" s="25">
        <v>4.9000000000000004</v>
      </c>
      <c r="M167" s="38">
        <v>11.9</v>
      </c>
      <c r="N167" s="4">
        <v>195</v>
      </c>
      <c r="O167" s="43">
        <v>0.4</v>
      </c>
      <c r="P167" s="4">
        <v>451</v>
      </c>
      <c r="Q167" s="39">
        <v>10.4</v>
      </c>
      <c r="R167" s="4">
        <v>1.2010000000000001</v>
      </c>
      <c r="S167" s="4">
        <v>7.88</v>
      </c>
      <c r="T167" s="4">
        <v>25.54</v>
      </c>
      <c r="U167" s="4">
        <v>8.3379999999999992</v>
      </c>
      <c r="V167" s="36">
        <v>13.7081</v>
      </c>
      <c r="W167" s="36">
        <v>17.444500000000001</v>
      </c>
      <c r="X167" s="4">
        <v>2.8260000000000001</v>
      </c>
      <c r="Y167" s="4">
        <v>1.8013063287035784</v>
      </c>
      <c r="Z167" s="4">
        <v>5.2</v>
      </c>
      <c r="AA167" s="4">
        <v>531</v>
      </c>
      <c r="AB167" s="4">
        <v>4800</v>
      </c>
    </row>
    <row r="168" spans="1:28" x14ac:dyDescent="0.25">
      <c r="A168" s="3">
        <v>13</v>
      </c>
      <c r="B168" s="25" t="s">
        <v>61</v>
      </c>
      <c r="C168" s="26">
        <v>45548</v>
      </c>
      <c r="D168" s="25" t="s">
        <v>53</v>
      </c>
      <c r="E168" s="25" t="s">
        <v>54</v>
      </c>
      <c r="F168" s="25" t="s">
        <v>57</v>
      </c>
      <c r="G168" s="27">
        <v>7.9</v>
      </c>
      <c r="H168" s="28">
        <v>0.79861111111111116</v>
      </c>
      <c r="I168" s="25" t="s">
        <v>68</v>
      </c>
      <c r="J168" s="3" t="s">
        <v>55</v>
      </c>
      <c r="K168" s="25" t="s">
        <v>58</v>
      </c>
      <c r="L168" s="27">
        <v>4</v>
      </c>
      <c r="M168" s="38">
        <v>9.42</v>
      </c>
      <c r="N168" s="4">
        <v>169</v>
      </c>
      <c r="O168" s="43">
        <v>0.4</v>
      </c>
      <c r="P168" s="4">
        <v>386</v>
      </c>
      <c r="Q168" s="4">
        <v>23.6</v>
      </c>
      <c r="R168" s="4">
        <v>1.1140000000000001</v>
      </c>
      <c r="S168" s="4">
        <v>5.7060000000000004</v>
      </c>
      <c r="T168" s="4">
        <v>25.98</v>
      </c>
      <c r="U168" s="4">
        <v>8.0180000000000007</v>
      </c>
      <c r="V168" s="36">
        <v>10.6305</v>
      </c>
      <c r="W168" s="36">
        <v>15.8748</v>
      </c>
      <c r="X168" s="4">
        <v>2.347</v>
      </c>
      <c r="Y168" s="4">
        <v>2.194264367458179</v>
      </c>
      <c r="Z168" s="4">
        <v>8.52</v>
      </c>
      <c r="AA168" s="4">
        <v>410</v>
      </c>
      <c r="AB168" s="4">
        <v>1930</v>
      </c>
    </row>
    <row r="169" spans="1:28" x14ac:dyDescent="0.25">
      <c r="A169" s="3">
        <v>15</v>
      </c>
      <c r="B169" s="25" t="s">
        <v>61</v>
      </c>
      <c r="C169" s="26">
        <v>45548</v>
      </c>
      <c r="D169" s="25" t="s">
        <v>53</v>
      </c>
      <c r="E169" s="25" t="s">
        <v>54</v>
      </c>
      <c r="F169" s="25" t="s">
        <v>57</v>
      </c>
      <c r="G169" s="27">
        <v>7.9</v>
      </c>
      <c r="H169" s="28">
        <v>0.79861111111111116</v>
      </c>
      <c r="I169" s="25" t="s">
        <v>68</v>
      </c>
      <c r="J169" s="3" t="s">
        <v>55</v>
      </c>
      <c r="K169" s="25" t="s">
        <v>38</v>
      </c>
      <c r="L169" s="27">
        <v>6.9</v>
      </c>
      <c r="M169" s="38">
        <v>13.2</v>
      </c>
      <c r="N169" s="4">
        <v>166</v>
      </c>
      <c r="O169" s="43">
        <v>0.4</v>
      </c>
      <c r="P169" s="4">
        <v>399</v>
      </c>
      <c r="Q169" s="4">
        <v>19.399999999999999</v>
      </c>
      <c r="R169" s="4">
        <v>1.1020000000000001</v>
      </c>
      <c r="S169" s="4">
        <v>5.7140000000000004</v>
      </c>
      <c r="T169" s="4">
        <v>26.24</v>
      </c>
      <c r="U169" s="4">
        <v>8.0039999999999996</v>
      </c>
      <c r="V169" s="36">
        <v>11.183199999999999</v>
      </c>
      <c r="W169" s="36">
        <v>16.720700000000001</v>
      </c>
      <c r="X169" s="4">
        <v>2.4790000000000001</v>
      </c>
      <c r="Y169" s="4">
        <v>2.2028037809504628</v>
      </c>
      <c r="Z169" s="4">
        <v>8.52</v>
      </c>
      <c r="AA169" s="4">
        <v>470</v>
      </c>
      <c r="AB169" s="4">
        <v>1830</v>
      </c>
    </row>
    <row r="170" spans="1:28" x14ac:dyDescent="0.25">
      <c r="A170" s="3">
        <v>24009</v>
      </c>
      <c r="B170" s="25" t="s">
        <v>62</v>
      </c>
      <c r="C170" s="26">
        <v>45432</v>
      </c>
      <c r="D170" s="25" t="s">
        <v>53</v>
      </c>
      <c r="E170" s="25" t="s">
        <v>54</v>
      </c>
      <c r="F170" s="25" t="s">
        <v>57</v>
      </c>
      <c r="G170" s="27">
        <v>8.1999999999999993</v>
      </c>
      <c r="H170" s="28">
        <v>0.84097222222222223</v>
      </c>
      <c r="I170" s="25" t="s">
        <v>68</v>
      </c>
      <c r="J170" s="3" t="s">
        <v>55</v>
      </c>
      <c r="K170" s="25" t="s">
        <v>75</v>
      </c>
      <c r="L170" s="27">
        <v>4.0999999999999996</v>
      </c>
      <c r="M170" s="3">
        <v>34.200000000000003</v>
      </c>
      <c r="N170" s="4">
        <v>369</v>
      </c>
      <c r="O170" s="39">
        <v>0.95</v>
      </c>
      <c r="P170" s="4">
        <v>531.48136868923791</v>
      </c>
      <c r="Q170" s="39">
        <v>10.5</v>
      </c>
      <c r="R170" s="4">
        <v>1.0069999999999999</v>
      </c>
      <c r="S170" s="4">
        <v>6.4219999999999997</v>
      </c>
      <c r="T170" s="4">
        <v>27.12</v>
      </c>
      <c r="U170" s="4">
        <v>8.048</v>
      </c>
      <c r="V170" s="36">
        <v>11.6685</v>
      </c>
      <c r="W170" s="36">
        <v>16.007899999999999</v>
      </c>
      <c r="X170" s="4">
        <v>2.4823431426985008</v>
      </c>
      <c r="Y170" s="4">
        <v>1.1350330947688738</v>
      </c>
      <c r="Z170" s="4">
        <v>1.99</v>
      </c>
      <c r="AA170" s="4">
        <v>214</v>
      </c>
      <c r="AB170" s="4">
        <v>848</v>
      </c>
    </row>
    <row r="171" spans="1:28" x14ac:dyDescent="0.25">
      <c r="A171" s="3">
        <v>24010</v>
      </c>
      <c r="B171" s="25" t="s">
        <v>62</v>
      </c>
      <c r="C171" s="26">
        <v>45432</v>
      </c>
      <c r="D171" s="25" t="s">
        <v>53</v>
      </c>
      <c r="E171" s="25" t="s">
        <v>54</v>
      </c>
      <c r="F171" s="25" t="s">
        <v>57</v>
      </c>
      <c r="G171" s="27">
        <v>8.1999999999999993</v>
      </c>
      <c r="H171" s="28">
        <v>0.84097222222222223</v>
      </c>
      <c r="I171" s="25" t="s">
        <v>68</v>
      </c>
      <c r="J171" s="3" t="s">
        <v>55</v>
      </c>
      <c r="K171" s="25" t="s">
        <v>38</v>
      </c>
      <c r="L171" s="27">
        <v>7.2</v>
      </c>
      <c r="M171" s="3">
        <v>44.8</v>
      </c>
      <c r="N171" s="4">
        <v>367</v>
      </c>
      <c r="O171" s="43">
        <v>0.4</v>
      </c>
      <c r="P171" s="4">
        <v>532.30686392158179</v>
      </c>
      <c r="Q171" s="39">
        <v>6.11</v>
      </c>
      <c r="R171" s="4">
        <v>1.0640000000000001</v>
      </c>
      <c r="S171" s="4">
        <v>6.7759999999999998</v>
      </c>
      <c r="T171" s="4">
        <v>27.65</v>
      </c>
      <c r="U171" s="4">
        <v>8.17</v>
      </c>
      <c r="V171" s="36">
        <v>12.102600000000001</v>
      </c>
      <c r="W171" s="36">
        <v>16.213000000000001</v>
      </c>
      <c r="X171" s="4">
        <v>2.4388950583009437</v>
      </c>
      <c r="Y171" s="4">
        <v>1.1265474784653686</v>
      </c>
      <c r="Z171" s="4">
        <v>1.89</v>
      </c>
      <c r="AA171" s="4">
        <v>150</v>
      </c>
      <c r="AB171" s="4">
        <v>781</v>
      </c>
    </row>
    <row r="172" spans="1:28" x14ac:dyDescent="0.25">
      <c r="A172" s="3">
        <v>24189</v>
      </c>
      <c r="B172" s="25" t="s">
        <v>62</v>
      </c>
      <c r="C172" s="26">
        <v>45498</v>
      </c>
      <c r="D172" s="33" t="s">
        <v>105</v>
      </c>
      <c r="E172" s="25" t="s">
        <v>54</v>
      </c>
      <c r="F172" s="25" t="s">
        <v>57</v>
      </c>
      <c r="G172" s="25">
        <v>7.2</v>
      </c>
      <c r="H172" s="28">
        <v>0.53472222222222221</v>
      </c>
      <c r="I172" s="25" t="s">
        <v>56</v>
      </c>
      <c r="J172" s="3" t="s">
        <v>55</v>
      </c>
      <c r="K172" s="25" t="s">
        <v>58</v>
      </c>
      <c r="L172" s="25">
        <v>2.02</v>
      </c>
      <c r="M172" s="38">
        <v>8.8800000000000008</v>
      </c>
      <c r="N172" s="4">
        <v>312</v>
      </c>
      <c r="O172" s="39">
        <v>0.90400000000000003</v>
      </c>
      <c r="P172" s="4">
        <v>472</v>
      </c>
      <c r="Q172" s="39">
        <v>7.3</v>
      </c>
      <c r="R172" s="4">
        <v>1.0589999999999999</v>
      </c>
      <c r="S172" s="4">
        <v>5.452</v>
      </c>
      <c r="T172" s="4">
        <v>23.04</v>
      </c>
      <c r="U172" s="4">
        <v>7.5679999999999996</v>
      </c>
      <c r="V172" s="36">
        <v>10.055300000000001</v>
      </c>
      <c r="W172" s="36">
        <v>15.2247</v>
      </c>
      <c r="X172" s="4">
        <v>2.3519999999999999</v>
      </c>
      <c r="Y172" s="4">
        <v>1.6512543119710612</v>
      </c>
      <c r="Z172" s="4">
        <v>4.6399999999999997</v>
      </c>
      <c r="AA172" s="4">
        <v>439</v>
      </c>
      <c r="AB172" s="4">
        <v>2650</v>
      </c>
    </row>
    <row r="173" spans="1:28" x14ac:dyDescent="0.25">
      <c r="A173" s="3">
        <v>24191</v>
      </c>
      <c r="B173" s="25" t="s">
        <v>62</v>
      </c>
      <c r="C173" s="26">
        <v>45498</v>
      </c>
      <c r="D173" s="33" t="s">
        <v>105</v>
      </c>
      <c r="E173" s="25" t="s">
        <v>54</v>
      </c>
      <c r="F173" s="25" t="s">
        <v>57</v>
      </c>
      <c r="G173" s="25">
        <v>7.2</v>
      </c>
      <c r="H173" s="28">
        <v>0.53472222222222221</v>
      </c>
      <c r="I173" s="25" t="s">
        <v>56</v>
      </c>
      <c r="J173" s="3" t="s">
        <v>55</v>
      </c>
      <c r="K173" s="25" t="s">
        <v>38</v>
      </c>
      <c r="L173" s="25">
        <v>5.03</v>
      </c>
      <c r="M173" s="38">
        <v>10.1</v>
      </c>
      <c r="N173" s="4">
        <v>291</v>
      </c>
      <c r="O173" s="39">
        <v>1.1200000000000001</v>
      </c>
      <c r="P173" s="4">
        <v>498</v>
      </c>
      <c r="Q173" s="4">
        <v>55.1</v>
      </c>
      <c r="R173" s="4">
        <v>1.03</v>
      </c>
      <c r="S173" s="4">
        <v>5.5739999999999998</v>
      </c>
      <c r="T173" s="4">
        <v>24.46</v>
      </c>
      <c r="U173" s="4">
        <v>7.64</v>
      </c>
      <c r="V173" s="36">
        <v>9.9696999999999996</v>
      </c>
      <c r="W173" s="36">
        <v>14.8209</v>
      </c>
      <c r="X173" s="4">
        <v>2.4159999999999999</v>
      </c>
      <c r="Y173" s="4">
        <v>1.6512543119710612</v>
      </c>
      <c r="Z173" s="4">
        <v>5.44</v>
      </c>
      <c r="AA173" s="4">
        <v>477</v>
      </c>
      <c r="AB173" s="4">
        <v>2570</v>
      </c>
    </row>
    <row r="174" spans="1:28" x14ac:dyDescent="0.25">
      <c r="A174" s="3">
        <v>16</v>
      </c>
      <c r="B174" s="25" t="s">
        <v>62</v>
      </c>
      <c r="C174" s="26">
        <v>45548</v>
      </c>
      <c r="D174" s="25" t="s">
        <v>53</v>
      </c>
      <c r="E174" s="25" t="s">
        <v>54</v>
      </c>
      <c r="F174" s="25" t="s">
        <v>57</v>
      </c>
      <c r="G174" s="27">
        <v>8</v>
      </c>
      <c r="H174" s="29">
        <v>0.87152777777777779</v>
      </c>
      <c r="I174" s="25" t="s">
        <v>68</v>
      </c>
      <c r="J174" s="3" t="s">
        <v>55</v>
      </c>
      <c r="K174" s="25" t="s">
        <v>58</v>
      </c>
      <c r="L174" s="27">
        <v>4.0999999999999996</v>
      </c>
      <c r="M174" s="3">
        <v>55</v>
      </c>
      <c r="N174" s="4">
        <v>261</v>
      </c>
      <c r="O174" s="43">
        <v>0.4</v>
      </c>
      <c r="P174" s="4">
        <v>451</v>
      </c>
      <c r="Q174" s="4">
        <v>10.1</v>
      </c>
      <c r="R174" s="4">
        <v>1.095</v>
      </c>
      <c r="S174" s="4">
        <v>5.6280000000000001</v>
      </c>
      <c r="T174" s="4">
        <v>26.08</v>
      </c>
      <c r="U174" s="4">
        <v>7.72</v>
      </c>
      <c r="V174" s="36">
        <v>10.129300000000001</v>
      </c>
      <c r="W174" s="36">
        <v>16.058900000000001</v>
      </c>
      <c r="X174" s="4">
        <v>2.2909999999999999</v>
      </c>
      <c r="Y174" s="4">
        <v>1.6648207309365868</v>
      </c>
      <c r="Z174" s="4">
        <v>3.4947368421052629</v>
      </c>
      <c r="AA174" s="4">
        <v>280</v>
      </c>
      <c r="AB174" s="4">
        <v>1020</v>
      </c>
    </row>
    <row r="175" spans="1:28" x14ac:dyDescent="0.25">
      <c r="A175" s="3">
        <v>18</v>
      </c>
      <c r="B175" s="25" t="s">
        <v>62</v>
      </c>
      <c r="C175" s="26">
        <v>45548</v>
      </c>
      <c r="D175" s="25" t="s">
        <v>53</v>
      </c>
      <c r="E175" s="25" t="s">
        <v>54</v>
      </c>
      <c r="F175" s="25" t="s">
        <v>57</v>
      </c>
      <c r="G175" s="27">
        <v>8</v>
      </c>
      <c r="H175" s="29">
        <v>0.87152777777777779</v>
      </c>
      <c r="I175" s="25" t="s">
        <v>68</v>
      </c>
      <c r="J175" s="3" t="s">
        <v>55</v>
      </c>
      <c r="K175" s="25" t="s">
        <v>38</v>
      </c>
      <c r="L175" s="27">
        <v>7.3</v>
      </c>
      <c r="M175" s="3">
        <v>47.6</v>
      </c>
      <c r="N175" s="4">
        <v>260</v>
      </c>
      <c r="O175" s="43">
        <v>0.4</v>
      </c>
      <c r="P175" s="4">
        <v>450</v>
      </c>
      <c r="Q175" s="4">
        <v>12.6</v>
      </c>
      <c r="R175" s="4">
        <v>1.109</v>
      </c>
      <c r="S175" s="4">
        <v>5.3460000000000001</v>
      </c>
      <c r="T175" s="4">
        <v>25.52</v>
      </c>
      <c r="U175" s="4">
        <v>7.766</v>
      </c>
      <c r="V175" s="36">
        <v>10.876799999999999</v>
      </c>
      <c r="W175" s="36">
        <v>17.502300000000002</v>
      </c>
      <c r="X175" s="4">
        <v>2.3660000000000001</v>
      </c>
      <c r="Y175" s="4">
        <v>1.6818995579211544</v>
      </c>
      <c r="Z175" s="4">
        <v>3.64</v>
      </c>
      <c r="AA175" s="6">
        <v>271</v>
      </c>
      <c r="AB175" s="6">
        <v>867</v>
      </c>
    </row>
    <row r="176" spans="1:28" x14ac:dyDescent="0.25">
      <c r="A176" s="3">
        <v>24013</v>
      </c>
      <c r="B176" s="25" t="s">
        <v>70</v>
      </c>
      <c r="C176" s="26">
        <v>45432</v>
      </c>
      <c r="D176" s="25" t="s">
        <v>53</v>
      </c>
      <c r="E176" s="25" t="s">
        <v>54</v>
      </c>
      <c r="F176" s="25" t="s">
        <v>57</v>
      </c>
      <c r="G176" s="27">
        <v>9.1</v>
      </c>
      <c r="H176" s="28">
        <v>0.88888888888888884</v>
      </c>
      <c r="I176" s="25" t="s">
        <v>68</v>
      </c>
      <c r="J176" s="3" t="s">
        <v>55</v>
      </c>
      <c r="K176" s="25" t="s">
        <v>75</v>
      </c>
      <c r="L176" s="27">
        <v>4.3</v>
      </c>
      <c r="M176" s="38">
        <v>10.9</v>
      </c>
      <c r="N176" s="4">
        <v>637</v>
      </c>
      <c r="O176" s="39">
        <v>1.1399999999999999</v>
      </c>
      <c r="P176" s="4">
        <v>780</v>
      </c>
      <c r="Q176" s="39">
        <v>8.1</v>
      </c>
      <c r="R176" s="4">
        <v>1.2270000000000001</v>
      </c>
      <c r="S176" s="4">
        <v>6.7759999999999998</v>
      </c>
      <c r="T176" s="4">
        <v>29.89</v>
      </c>
      <c r="U176" s="4">
        <v>8.2560000000000002</v>
      </c>
      <c r="V176" s="36">
        <v>12.287599999999999</v>
      </c>
      <c r="W176" s="36">
        <v>16.8386</v>
      </c>
      <c r="X176" s="4">
        <v>2.6383675735702385</v>
      </c>
      <c r="Y176" s="4">
        <v>1.1859467925899048</v>
      </c>
      <c r="Z176" s="4">
        <v>2.76</v>
      </c>
      <c r="AA176" s="4">
        <v>201</v>
      </c>
      <c r="AB176" s="4">
        <v>924</v>
      </c>
    </row>
    <row r="177" spans="1:28" x14ac:dyDescent="0.25">
      <c r="A177" s="3">
        <v>24014</v>
      </c>
      <c r="B177" s="25" t="s">
        <v>70</v>
      </c>
      <c r="C177" s="26">
        <v>45432</v>
      </c>
      <c r="D177" s="25" t="s">
        <v>53</v>
      </c>
      <c r="E177" s="25" t="s">
        <v>54</v>
      </c>
      <c r="F177" s="25" t="s">
        <v>57</v>
      </c>
      <c r="G177" s="27">
        <v>9.1</v>
      </c>
      <c r="H177" s="28">
        <v>0.88888888888888884</v>
      </c>
      <c r="I177" s="25" t="s">
        <v>68</v>
      </c>
      <c r="J177" s="3" t="s">
        <v>55</v>
      </c>
      <c r="K177" s="25" t="s">
        <v>38</v>
      </c>
      <c r="L177" s="27">
        <v>8</v>
      </c>
      <c r="M177" s="38">
        <v>7.65</v>
      </c>
      <c r="N177" s="4">
        <v>576</v>
      </c>
      <c r="O177" s="39">
        <v>1.1200000000000001</v>
      </c>
      <c r="P177" s="4">
        <v>700.7078913197297</v>
      </c>
      <c r="Q177" s="39">
        <v>5.32</v>
      </c>
      <c r="R177" s="4">
        <v>1.1140000000000001</v>
      </c>
      <c r="S177" s="4">
        <v>6.4960000000000004</v>
      </c>
      <c r="T177" s="4">
        <v>27.16</v>
      </c>
      <c r="U177" s="4">
        <v>8.2720000000000002</v>
      </c>
      <c r="V177" s="36">
        <v>12.1424</v>
      </c>
      <c r="W177" s="36">
        <v>16.642700000000001</v>
      </c>
      <c r="X177" s="4">
        <v>2.3138719230057374</v>
      </c>
      <c r="Y177" s="4">
        <v>1.2283748741074307</v>
      </c>
      <c r="Z177" s="4">
        <v>3.28</v>
      </c>
      <c r="AA177" s="4">
        <v>193</v>
      </c>
      <c r="AB177" s="4">
        <v>982</v>
      </c>
    </row>
    <row r="178" spans="1:28" x14ac:dyDescent="0.25">
      <c r="A178" s="3">
        <v>24201</v>
      </c>
      <c r="B178" s="25" t="s">
        <v>70</v>
      </c>
      <c r="C178" s="26">
        <v>45498</v>
      </c>
      <c r="D178" s="33" t="s">
        <v>105</v>
      </c>
      <c r="E178" s="25" t="s">
        <v>54</v>
      </c>
      <c r="F178" s="25" t="s">
        <v>57</v>
      </c>
      <c r="G178" s="25">
        <v>7.9</v>
      </c>
      <c r="H178" s="28">
        <v>0.59791666666666665</v>
      </c>
      <c r="I178" s="25" t="s">
        <v>56</v>
      </c>
      <c r="J178" s="3" t="s">
        <v>55</v>
      </c>
      <c r="K178" s="25" t="s">
        <v>58</v>
      </c>
      <c r="L178" s="25">
        <v>2.12</v>
      </c>
      <c r="M178" s="38">
        <v>10.4</v>
      </c>
      <c r="N178" s="4">
        <v>301</v>
      </c>
      <c r="O178" s="43">
        <v>0.4</v>
      </c>
      <c r="P178" s="4">
        <v>427</v>
      </c>
      <c r="Q178" s="39">
        <v>9.7200000000000006</v>
      </c>
      <c r="R178" s="4">
        <v>1.1060000000000001</v>
      </c>
      <c r="S178" s="4">
        <v>5.7679999999999998</v>
      </c>
      <c r="T178" s="4">
        <v>24.98</v>
      </c>
      <c r="U178" s="4">
        <v>7.9260000000000002</v>
      </c>
      <c r="V178" s="36">
        <v>10.287000000000001</v>
      </c>
      <c r="W178" s="36">
        <v>15.304</v>
      </c>
      <c r="X178" s="4">
        <v>2.3220000000000001</v>
      </c>
      <c r="Y178" s="4">
        <v>1.6854297428904035</v>
      </c>
      <c r="Z178" s="4">
        <v>5.88</v>
      </c>
      <c r="AA178" s="4">
        <v>288</v>
      </c>
      <c r="AB178" s="4">
        <v>2600</v>
      </c>
    </row>
    <row r="179" spans="1:28" x14ac:dyDescent="0.25">
      <c r="A179" s="45">
        <v>24203</v>
      </c>
      <c r="B179" s="25" t="s">
        <v>70</v>
      </c>
      <c r="C179" s="26">
        <v>45498</v>
      </c>
      <c r="D179" s="33" t="s">
        <v>105</v>
      </c>
      <c r="E179" s="25" t="s">
        <v>54</v>
      </c>
      <c r="F179" s="25" t="s">
        <v>57</v>
      </c>
      <c r="G179" s="25">
        <v>7.9</v>
      </c>
      <c r="H179" s="28">
        <v>0.59791666666666665</v>
      </c>
      <c r="I179" s="25" t="s">
        <v>56</v>
      </c>
      <c r="J179" s="3" t="s">
        <v>55</v>
      </c>
      <c r="K179" s="25" t="s">
        <v>38</v>
      </c>
      <c r="L179" s="25">
        <v>5.98</v>
      </c>
      <c r="M179" s="38">
        <v>11.5</v>
      </c>
      <c r="N179" s="4">
        <v>281</v>
      </c>
      <c r="O179" s="39">
        <v>0.82299999999999995</v>
      </c>
      <c r="P179" s="4">
        <v>502</v>
      </c>
      <c r="Q179" s="39">
        <v>6.06</v>
      </c>
      <c r="R179" s="4">
        <v>1.0429999999999999</v>
      </c>
      <c r="S179" s="4">
        <v>5.6619999999999999</v>
      </c>
      <c r="T179" s="4">
        <v>24.38</v>
      </c>
      <c r="U179" s="4">
        <v>7.84</v>
      </c>
      <c r="V179" s="36">
        <v>9.9664000000000001</v>
      </c>
      <c r="W179" s="36">
        <v>14.861700000000001</v>
      </c>
      <c r="X179" s="4">
        <v>2.278</v>
      </c>
      <c r="Y179" s="4">
        <v>1.7310561432461931</v>
      </c>
      <c r="Z179" s="4">
        <v>5.64</v>
      </c>
      <c r="AA179" s="4">
        <v>289</v>
      </c>
      <c r="AB179" s="4">
        <v>2700</v>
      </c>
    </row>
    <row r="180" spans="1:28" x14ac:dyDescent="0.25">
      <c r="A180" s="3">
        <v>19</v>
      </c>
      <c r="B180" s="25" t="s">
        <v>70</v>
      </c>
      <c r="C180" s="26">
        <v>45548</v>
      </c>
      <c r="D180" s="25" t="s">
        <v>53</v>
      </c>
      <c r="E180" s="25" t="s">
        <v>54</v>
      </c>
      <c r="F180" s="25" t="s">
        <v>57</v>
      </c>
      <c r="G180" s="27">
        <v>8.5</v>
      </c>
      <c r="H180" s="28">
        <v>0.93055555555555547</v>
      </c>
      <c r="I180" s="25" t="s">
        <v>68</v>
      </c>
      <c r="J180" s="3" t="s">
        <v>55</v>
      </c>
      <c r="K180" s="25" t="s">
        <v>58</v>
      </c>
      <c r="L180" s="27">
        <v>4</v>
      </c>
      <c r="M180" s="38">
        <v>13</v>
      </c>
      <c r="N180" s="4">
        <v>192</v>
      </c>
      <c r="O180" s="43">
        <v>0.4</v>
      </c>
      <c r="P180" s="4">
        <v>368</v>
      </c>
      <c r="Q180" s="39">
        <v>9.09</v>
      </c>
      <c r="R180" s="4">
        <v>0.96599999999999997</v>
      </c>
      <c r="S180" s="4">
        <v>4.6260000000000003</v>
      </c>
      <c r="T180" s="4">
        <v>25.04</v>
      </c>
      <c r="U180" s="4">
        <v>7.68</v>
      </c>
      <c r="V180" s="36">
        <v>9.2800999999999991</v>
      </c>
      <c r="W180" s="36">
        <v>16.139399999999998</v>
      </c>
      <c r="X180" s="4">
        <v>2.1280000000000001</v>
      </c>
      <c r="Y180" s="4">
        <v>1.6939736006202388</v>
      </c>
      <c r="Z180" s="4">
        <v>3.92</v>
      </c>
      <c r="AA180" s="4">
        <v>265</v>
      </c>
      <c r="AB180" s="4">
        <v>1120</v>
      </c>
    </row>
    <row r="181" spans="1:28" x14ac:dyDescent="0.25">
      <c r="A181" s="3">
        <v>21</v>
      </c>
      <c r="B181" s="25" t="s">
        <v>70</v>
      </c>
      <c r="C181" s="26">
        <v>45548</v>
      </c>
      <c r="D181" s="25" t="s">
        <v>53</v>
      </c>
      <c r="E181" s="25" t="s">
        <v>54</v>
      </c>
      <c r="F181" s="25" t="s">
        <v>57</v>
      </c>
      <c r="G181" s="27">
        <v>8.5</v>
      </c>
      <c r="H181" s="28">
        <v>0.93055555555555547</v>
      </c>
      <c r="I181" s="25" t="s">
        <v>68</v>
      </c>
      <c r="J181" s="3" t="s">
        <v>55</v>
      </c>
      <c r="K181" s="25" t="s">
        <v>38</v>
      </c>
      <c r="L181" s="27">
        <v>6.9</v>
      </c>
      <c r="M181" s="40">
        <v>12.4</v>
      </c>
      <c r="N181" s="4">
        <v>196</v>
      </c>
      <c r="O181" s="43">
        <v>0.4</v>
      </c>
      <c r="P181" s="4">
        <v>384</v>
      </c>
      <c r="Q181" s="39">
        <v>8.17</v>
      </c>
      <c r="R181" s="4">
        <v>1.016</v>
      </c>
      <c r="S181" s="4">
        <v>5.0339999999999998</v>
      </c>
      <c r="T181" s="4">
        <v>25.3</v>
      </c>
      <c r="U181" s="4">
        <v>7.6740000000000004</v>
      </c>
      <c r="V181" s="36">
        <v>9.0464000000000002</v>
      </c>
      <c r="W181" s="36">
        <v>15.748200000000001</v>
      </c>
      <c r="X181" s="4">
        <v>2.5539999999999998</v>
      </c>
      <c r="Y181" s="4">
        <v>1.7160572118902893</v>
      </c>
      <c r="Z181" s="4">
        <v>3.84</v>
      </c>
      <c r="AA181" s="4">
        <v>247</v>
      </c>
      <c r="AB181" s="4">
        <v>1050</v>
      </c>
    </row>
    <row r="182" spans="1:28" x14ac:dyDescent="0.25">
      <c r="A182" s="3">
        <v>24076</v>
      </c>
      <c r="B182" s="25" t="s">
        <v>60</v>
      </c>
      <c r="C182" s="26">
        <v>45434</v>
      </c>
      <c r="D182" s="25" t="s">
        <v>53</v>
      </c>
      <c r="E182" s="25" t="s">
        <v>54</v>
      </c>
      <c r="F182" s="25" t="s">
        <v>57</v>
      </c>
      <c r="G182" s="27">
        <v>47.3</v>
      </c>
      <c r="H182" s="28">
        <v>0.84722222222222221</v>
      </c>
      <c r="I182" s="25" t="s">
        <v>80</v>
      </c>
      <c r="J182" s="3" t="s">
        <v>95</v>
      </c>
      <c r="K182" s="25" t="s">
        <v>58</v>
      </c>
      <c r="L182" s="27">
        <v>5</v>
      </c>
      <c r="M182" s="38">
        <v>6.77</v>
      </c>
      <c r="N182" s="4">
        <v>85.5</v>
      </c>
      <c r="O182" s="43">
        <v>0.4</v>
      </c>
      <c r="P182" s="4">
        <v>277</v>
      </c>
      <c r="Q182" s="39">
        <v>6.21</v>
      </c>
      <c r="R182" s="4">
        <v>1.321</v>
      </c>
      <c r="S182" s="4">
        <v>9.2059999999999995</v>
      </c>
      <c r="T182" s="4">
        <v>28.12</v>
      </c>
      <c r="U182" s="4">
        <v>8.24</v>
      </c>
      <c r="V182" s="36">
        <v>15.9551</v>
      </c>
      <c r="W182" s="36">
        <v>19.394400000000001</v>
      </c>
      <c r="X182" s="7" t="s">
        <v>1</v>
      </c>
      <c r="Y182" s="39">
        <v>0.37557043560516062</v>
      </c>
      <c r="Z182" s="4">
        <v>1.99</v>
      </c>
      <c r="AA182" s="4">
        <v>117</v>
      </c>
      <c r="AB182" s="4">
        <v>1320</v>
      </c>
    </row>
    <row r="183" spans="1:28" x14ac:dyDescent="0.25">
      <c r="A183" s="3">
        <v>24077</v>
      </c>
      <c r="B183" s="25" t="s">
        <v>60</v>
      </c>
      <c r="C183" s="26">
        <v>45434</v>
      </c>
      <c r="D183" s="25" t="s">
        <v>53</v>
      </c>
      <c r="E183" s="25" t="s">
        <v>54</v>
      </c>
      <c r="F183" s="25" t="s">
        <v>57</v>
      </c>
      <c r="G183" s="27">
        <v>47.3</v>
      </c>
      <c r="H183" s="28">
        <v>0.84722222222222221</v>
      </c>
      <c r="I183" s="25" t="s">
        <v>80</v>
      </c>
      <c r="J183" s="3" t="s">
        <v>95</v>
      </c>
      <c r="K183" s="25" t="s">
        <v>75</v>
      </c>
      <c r="L183" s="27">
        <v>18</v>
      </c>
      <c r="M183" s="3">
        <v>31.4</v>
      </c>
      <c r="N183" s="4">
        <v>136</v>
      </c>
      <c r="O183" s="39">
        <v>1.08</v>
      </c>
      <c r="P183" s="4">
        <v>329.23503676499178</v>
      </c>
      <c r="Q183" s="39">
        <v>3.04</v>
      </c>
      <c r="R183" s="4">
        <v>1.325</v>
      </c>
      <c r="S183" s="4">
        <v>9.2159999999999993</v>
      </c>
      <c r="T183" s="4">
        <v>29.7</v>
      </c>
      <c r="U183" s="4">
        <v>8.4220000000000006</v>
      </c>
      <c r="V183" s="36">
        <v>15.9809</v>
      </c>
      <c r="W183" s="36">
        <v>19.502800000000001</v>
      </c>
      <c r="X183" s="7" t="s">
        <v>1</v>
      </c>
      <c r="Y183" s="4">
        <v>0.50370324178808878</v>
      </c>
      <c r="Z183" s="4">
        <v>2.2000000000000002</v>
      </c>
      <c r="AA183" s="4">
        <v>94.2</v>
      </c>
      <c r="AB183" s="4">
        <v>834</v>
      </c>
    </row>
    <row r="184" spans="1:28" x14ac:dyDescent="0.25">
      <c r="A184" s="3">
        <v>24078</v>
      </c>
      <c r="B184" s="25" t="s">
        <v>60</v>
      </c>
      <c r="C184" s="26">
        <v>45434</v>
      </c>
      <c r="D184" s="25" t="s">
        <v>53</v>
      </c>
      <c r="E184" s="25" t="s">
        <v>54</v>
      </c>
      <c r="F184" s="25" t="s">
        <v>57</v>
      </c>
      <c r="G184" s="27">
        <v>47.3</v>
      </c>
      <c r="H184" s="28">
        <v>0.84722222222222221</v>
      </c>
      <c r="I184" s="25" t="s">
        <v>80</v>
      </c>
      <c r="J184" s="3" t="s">
        <v>95</v>
      </c>
      <c r="K184" s="25" t="s">
        <v>38</v>
      </c>
      <c r="L184" s="27">
        <v>46</v>
      </c>
      <c r="M184" s="3">
        <v>38.5</v>
      </c>
      <c r="N184" s="4">
        <v>148</v>
      </c>
      <c r="O184" s="39">
        <v>1.45</v>
      </c>
      <c r="P184" s="4">
        <v>341</v>
      </c>
      <c r="Q184" s="39">
        <v>5.56</v>
      </c>
      <c r="R184" s="4">
        <v>1.3069999999999999</v>
      </c>
      <c r="S184" s="4">
        <v>9.1579999999999995</v>
      </c>
      <c r="T184" s="4">
        <v>30.1</v>
      </c>
      <c r="U184" s="4">
        <v>8.33</v>
      </c>
      <c r="V184" s="36">
        <v>15.904500000000001</v>
      </c>
      <c r="W184" s="36">
        <v>19.5517</v>
      </c>
      <c r="X184" s="4">
        <v>2.5597555429221148</v>
      </c>
      <c r="Y184" s="4">
        <v>0.59449933623559414</v>
      </c>
      <c r="Z184" s="39">
        <v>0.17</v>
      </c>
      <c r="AA184" s="4">
        <v>26.6</v>
      </c>
      <c r="AB184" s="4">
        <v>185</v>
      </c>
    </row>
    <row r="185" spans="1:28" x14ac:dyDescent="0.25">
      <c r="A185" s="3">
        <v>24301</v>
      </c>
      <c r="B185" s="25" t="s">
        <v>60</v>
      </c>
      <c r="C185" s="26">
        <v>45505</v>
      </c>
      <c r="D185" s="33" t="s">
        <v>105</v>
      </c>
      <c r="E185" s="25" t="s">
        <v>54</v>
      </c>
      <c r="F185" s="25" t="s">
        <v>57</v>
      </c>
      <c r="G185" s="25">
        <v>44</v>
      </c>
      <c r="H185" s="28">
        <v>0.71736111111111101</v>
      </c>
      <c r="I185" s="25" t="s">
        <v>100</v>
      </c>
      <c r="J185" s="3" t="s">
        <v>55</v>
      </c>
      <c r="K185" s="25" t="s">
        <v>58</v>
      </c>
      <c r="L185" s="25">
        <v>4.5999999999999996</v>
      </c>
      <c r="M185" s="38">
        <v>8.92</v>
      </c>
      <c r="N185" s="4">
        <v>59.5</v>
      </c>
      <c r="O185" s="43">
        <v>0.4</v>
      </c>
      <c r="P185" s="4">
        <v>279</v>
      </c>
      <c r="Q185" s="39">
        <v>4.47</v>
      </c>
      <c r="R185" s="4">
        <v>1.456</v>
      </c>
      <c r="S185" s="4">
        <v>8.9</v>
      </c>
      <c r="T185" s="4">
        <v>28.52</v>
      </c>
      <c r="U185" s="4">
        <v>8.34</v>
      </c>
      <c r="V185" s="36">
        <v>15.8329</v>
      </c>
      <c r="W185" s="36">
        <v>19.1007</v>
      </c>
      <c r="X185" s="4">
        <v>3.71</v>
      </c>
      <c r="Y185" s="43">
        <v>0.05</v>
      </c>
      <c r="Z185" s="4">
        <v>1.92</v>
      </c>
      <c r="AA185" s="4">
        <v>174</v>
      </c>
      <c r="AB185" s="4">
        <v>1620</v>
      </c>
    </row>
    <row r="186" spans="1:28" x14ac:dyDescent="0.25">
      <c r="A186" s="3">
        <v>24302</v>
      </c>
      <c r="B186" s="25" t="s">
        <v>60</v>
      </c>
      <c r="C186" s="26">
        <v>45505</v>
      </c>
      <c r="D186" s="33" t="s">
        <v>105</v>
      </c>
      <c r="E186" s="25" t="s">
        <v>54</v>
      </c>
      <c r="F186" s="25" t="s">
        <v>57</v>
      </c>
      <c r="G186" s="25">
        <v>44</v>
      </c>
      <c r="H186" s="28">
        <v>0.71736111111111101</v>
      </c>
      <c r="I186" s="25" t="s">
        <v>100</v>
      </c>
      <c r="J186" s="3" t="s">
        <v>55</v>
      </c>
      <c r="K186" s="25" t="s">
        <v>75</v>
      </c>
      <c r="L186" s="25">
        <v>21.4</v>
      </c>
      <c r="M186" s="3">
        <v>24.6</v>
      </c>
      <c r="N186" s="4">
        <v>258</v>
      </c>
      <c r="O186" s="43">
        <v>0.4</v>
      </c>
      <c r="P186" s="4">
        <v>457</v>
      </c>
      <c r="Q186" s="39">
        <v>6.73</v>
      </c>
      <c r="R186" s="4">
        <v>1.3779999999999999</v>
      </c>
      <c r="S186" s="4">
        <v>9.2560000000000002</v>
      </c>
      <c r="T186" s="4">
        <v>30.42</v>
      </c>
      <c r="U186" s="4">
        <v>8.5960000000000001</v>
      </c>
      <c r="V186" s="36">
        <v>16.148800000000001</v>
      </c>
      <c r="W186" s="36">
        <v>18.9847</v>
      </c>
      <c r="X186" s="4">
        <v>2.5219999999999998</v>
      </c>
      <c r="Y186" s="4">
        <v>0.56578119197181231</v>
      </c>
      <c r="Z186" s="4">
        <v>1.58</v>
      </c>
      <c r="AA186" s="6">
        <v>175</v>
      </c>
      <c r="AB186" s="6">
        <v>874</v>
      </c>
    </row>
    <row r="187" spans="1:28" x14ac:dyDescent="0.25">
      <c r="A187" s="3">
        <v>24303</v>
      </c>
      <c r="B187" s="25" t="s">
        <v>60</v>
      </c>
      <c r="C187" s="26">
        <v>45505</v>
      </c>
      <c r="D187" s="33" t="s">
        <v>105</v>
      </c>
      <c r="E187" s="25" t="s">
        <v>54</v>
      </c>
      <c r="F187" s="25" t="s">
        <v>57</v>
      </c>
      <c r="G187" s="25">
        <v>44</v>
      </c>
      <c r="H187" s="28">
        <v>0.71736111111111101</v>
      </c>
      <c r="I187" s="25" t="s">
        <v>100</v>
      </c>
      <c r="J187" s="3" t="s">
        <v>55</v>
      </c>
      <c r="K187" s="25" t="s">
        <v>38</v>
      </c>
      <c r="L187" s="25">
        <v>38.700000000000003</v>
      </c>
      <c r="M187" s="3">
        <v>39.700000000000003</v>
      </c>
      <c r="N187" s="4">
        <v>177</v>
      </c>
      <c r="O187" s="39">
        <v>0.94299999999999995</v>
      </c>
      <c r="P187" s="4">
        <v>388</v>
      </c>
      <c r="Q187" s="39">
        <v>8.52</v>
      </c>
      <c r="R187" s="4">
        <v>1.389</v>
      </c>
      <c r="S187" s="4">
        <v>9.1319999999999997</v>
      </c>
      <c r="T187" s="4">
        <v>31.52</v>
      </c>
      <c r="U187" s="4">
        <v>8.5</v>
      </c>
      <c r="V187" s="36">
        <v>15.483000000000001</v>
      </c>
      <c r="W187" s="36">
        <v>18.6313</v>
      </c>
      <c r="X187" s="4">
        <v>2.3969999999999998</v>
      </c>
      <c r="Y187" s="4">
        <v>0.77038485711644733</v>
      </c>
      <c r="Z187" s="39">
        <v>0.34</v>
      </c>
      <c r="AA187" s="4">
        <v>61.5</v>
      </c>
      <c r="AB187" s="4">
        <v>297</v>
      </c>
    </row>
    <row r="188" spans="1:28" x14ac:dyDescent="0.25">
      <c r="A188" s="3">
        <v>79</v>
      </c>
      <c r="B188" s="25" t="s">
        <v>60</v>
      </c>
      <c r="C188" s="26">
        <v>45550</v>
      </c>
      <c r="D188" s="25" t="s">
        <v>53</v>
      </c>
      <c r="E188" s="25" t="s">
        <v>54</v>
      </c>
      <c r="F188" s="25" t="s">
        <v>57</v>
      </c>
      <c r="G188" s="27">
        <v>45.3</v>
      </c>
      <c r="H188" s="28">
        <v>0.79861111111111116</v>
      </c>
      <c r="I188" s="25" t="s">
        <v>80</v>
      </c>
      <c r="J188" s="3" t="s">
        <v>55</v>
      </c>
      <c r="K188" s="25" t="s">
        <v>58</v>
      </c>
      <c r="L188" s="27">
        <v>5</v>
      </c>
      <c r="M188" s="41">
        <v>9.2799999999999994</v>
      </c>
      <c r="N188" s="4">
        <v>29.5</v>
      </c>
      <c r="O188" s="43">
        <v>0.4</v>
      </c>
      <c r="P188" s="4">
        <v>263</v>
      </c>
      <c r="Q188" s="39">
        <v>13.3</v>
      </c>
      <c r="R188" s="4">
        <v>1.3440000000000001</v>
      </c>
      <c r="S188" s="4">
        <v>8.6199999999999992</v>
      </c>
      <c r="T188" s="4">
        <v>31.58</v>
      </c>
      <c r="U188" s="4">
        <v>8.7219999999999995</v>
      </c>
      <c r="V188" s="36">
        <v>16.550899999999999</v>
      </c>
      <c r="W188" s="36">
        <v>19.8813</v>
      </c>
      <c r="X188" s="4">
        <v>2.548</v>
      </c>
      <c r="Y188" s="39">
        <v>0.34975105312488952</v>
      </c>
      <c r="Z188" s="4">
        <v>3.48</v>
      </c>
      <c r="AA188" s="4">
        <v>187</v>
      </c>
      <c r="AB188" s="4">
        <v>1220</v>
      </c>
    </row>
    <row r="189" spans="1:28" x14ac:dyDescent="0.25">
      <c r="A189" s="3">
        <v>80</v>
      </c>
      <c r="B189" s="25" t="s">
        <v>60</v>
      </c>
      <c r="C189" s="26">
        <v>45550</v>
      </c>
      <c r="D189" s="25" t="s">
        <v>53</v>
      </c>
      <c r="E189" s="25" t="s">
        <v>54</v>
      </c>
      <c r="F189" s="25" t="s">
        <v>57</v>
      </c>
      <c r="G189" s="27">
        <v>45.3</v>
      </c>
      <c r="H189" s="28">
        <v>0.79861111111111116</v>
      </c>
      <c r="I189" s="25" t="s">
        <v>80</v>
      </c>
      <c r="J189" s="3" t="s">
        <v>55</v>
      </c>
      <c r="K189" s="25" t="s">
        <v>75</v>
      </c>
      <c r="L189" s="27">
        <v>26</v>
      </c>
      <c r="M189" s="40">
        <v>11.3</v>
      </c>
      <c r="N189" s="4">
        <v>228</v>
      </c>
      <c r="O189" s="43">
        <v>0.4</v>
      </c>
      <c r="P189" s="4">
        <v>404</v>
      </c>
      <c r="Q189" s="39">
        <v>6.2</v>
      </c>
      <c r="R189" s="4">
        <v>1.331</v>
      </c>
      <c r="S189" s="4">
        <v>8.6839999999999993</v>
      </c>
      <c r="T189" s="4">
        <v>32.6</v>
      </c>
      <c r="U189" s="4">
        <v>8.6419999999999995</v>
      </c>
      <c r="V189" s="36">
        <v>16.352699999999999</v>
      </c>
      <c r="W189" s="36">
        <v>19.6523</v>
      </c>
      <c r="X189" s="4">
        <v>2.5169999999999999</v>
      </c>
      <c r="Y189" s="4">
        <v>0.77672172773907688</v>
      </c>
      <c r="Z189" s="4">
        <v>1.47</v>
      </c>
      <c r="AA189" s="6">
        <v>97</v>
      </c>
      <c r="AB189" s="6">
        <v>576</v>
      </c>
    </row>
    <row r="190" spans="1:28" x14ac:dyDescent="0.25">
      <c r="A190" s="3">
        <v>81</v>
      </c>
      <c r="B190" s="25" t="s">
        <v>60</v>
      </c>
      <c r="C190" s="26">
        <v>45550</v>
      </c>
      <c r="D190" s="25" t="s">
        <v>53</v>
      </c>
      <c r="E190" s="25" t="s">
        <v>54</v>
      </c>
      <c r="F190" s="25" t="s">
        <v>57</v>
      </c>
      <c r="G190" s="27">
        <v>45.3</v>
      </c>
      <c r="H190" s="28">
        <v>0.79861111111111116</v>
      </c>
      <c r="I190" s="25" t="s">
        <v>80</v>
      </c>
      <c r="J190" s="3" t="s">
        <v>55</v>
      </c>
      <c r="K190" s="25" t="s">
        <v>38</v>
      </c>
      <c r="L190" s="27">
        <v>44.3</v>
      </c>
      <c r="M190" s="41">
        <v>9.52</v>
      </c>
      <c r="N190" s="4">
        <v>268</v>
      </c>
      <c r="O190" s="43">
        <v>0.4</v>
      </c>
      <c r="P190" s="4">
        <v>416</v>
      </c>
      <c r="Q190" s="39">
        <v>4.05</v>
      </c>
      <c r="R190" s="4">
        <v>1.397</v>
      </c>
      <c r="S190" s="4">
        <v>8.202</v>
      </c>
      <c r="T190" s="4">
        <v>32.08</v>
      </c>
      <c r="U190" s="4">
        <v>8.5960000000000001</v>
      </c>
      <c r="V190" s="36">
        <v>16.597999999999999</v>
      </c>
      <c r="W190" s="36">
        <v>19.889299999999999</v>
      </c>
      <c r="X190" s="4">
        <v>2.472</v>
      </c>
      <c r="Y190" s="4">
        <v>1.015825305523022</v>
      </c>
      <c r="Z190" s="4">
        <v>0.53</v>
      </c>
      <c r="AA190" s="4">
        <v>64.8</v>
      </c>
      <c r="AB190" s="4">
        <v>198</v>
      </c>
    </row>
    <row r="191" spans="1:28" x14ac:dyDescent="0.25">
      <c r="A191" s="3">
        <v>24056</v>
      </c>
      <c r="B191" s="25" t="s">
        <v>78</v>
      </c>
      <c r="C191" s="26">
        <v>45433</v>
      </c>
      <c r="D191" s="25" t="s">
        <v>53</v>
      </c>
      <c r="E191" s="25" t="s">
        <v>54</v>
      </c>
      <c r="F191" s="25" t="s">
        <v>57</v>
      </c>
      <c r="G191" s="27">
        <v>24.2</v>
      </c>
      <c r="H191" s="28">
        <v>0.5</v>
      </c>
      <c r="I191" s="25" t="s">
        <v>80</v>
      </c>
      <c r="J191" s="3" t="s">
        <v>95</v>
      </c>
      <c r="K191" s="25" t="s">
        <v>58</v>
      </c>
      <c r="L191" s="27">
        <v>5</v>
      </c>
      <c r="M191" s="38">
        <v>16</v>
      </c>
      <c r="N191" s="4">
        <v>105</v>
      </c>
      <c r="O191" s="39">
        <v>1.05</v>
      </c>
      <c r="P191" s="4">
        <v>339.14097955311809</v>
      </c>
      <c r="Q191" s="39">
        <v>6.84</v>
      </c>
      <c r="R191" s="4">
        <v>1.246</v>
      </c>
      <c r="S191" s="4">
        <v>8.3339999999999996</v>
      </c>
      <c r="T191" s="4">
        <v>30.94</v>
      </c>
      <c r="U191" s="4">
        <v>8.2780000000000005</v>
      </c>
      <c r="V191" s="36">
        <v>15.2525</v>
      </c>
      <c r="W191" s="36">
        <v>18.9939</v>
      </c>
      <c r="X191" s="4">
        <v>2.7826855450675545</v>
      </c>
      <c r="Y191" s="39">
        <v>0.43242406483864532</v>
      </c>
      <c r="Z191" s="4">
        <v>1.89</v>
      </c>
      <c r="AA191" s="4">
        <v>221</v>
      </c>
      <c r="AB191" s="4">
        <v>820</v>
      </c>
    </row>
    <row r="192" spans="1:28" x14ac:dyDescent="0.25">
      <c r="A192" s="3">
        <v>24057</v>
      </c>
      <c r="B192" s="25" t="s">
        <v>78</v>
      </c>
      <c r="C192" s="26">
        <v>45433</v>
      </c>
      <c r="D192" s="25" t="s">
        <v>53</v>
      </c>
      <c r="E192" s="25" t="s">
        <v>54</v>
      </c>
      <c r="F192" s="25" t="s">
        <v>57</v>
      </c>
      <c r="G192" s="27">
        <v>24.2</v>
      </c>
      <c r="H192" s="28">
        <v>0.5</v>
      </c>
      <c r="I192" s="25" t="s">
        <v>80</v>
      </c>
      <c r="J192" s="3" t="s">
        <v>95</v>
      </c>
      <c r="K192" s="25" t="s">
        <v>75</v>
      </c>
      <c r="L192" s="27">
        <v>18</v>
      </c>
      <c r="M192" s="3">
        <v>29.2</v>
      </c>
      <c r="N192" s="4">
        <v>45.4</v>
      </c>
      <c r="O192" s="39">
        <v>1.46</v>
      </c>
      <c r="P192" s="4">
        <v>264.8464086421705</v>
      </c>
      <c r="Q192" s="39">
        <v>8.44</v>
      </c>
      <c r="R192" s="4">
        <v>1.321</v>
      </c>
      <c r="S192" s="4">
        <v>8.3919999999999995</v>
      </c>
      <c r="T192" s="4">
        <v>31.58</v>
      </c>
      <c r="U192" s="4">
        <v>8.3360000000000003</v>
      </c>
      <c r="V192" s="36">
        <v>15.334199999999999</v>
      </c>
      <c r="W192" s="36">
        <v>19.280999999999999</v>
      </c>
      <c r="X192" s="4">
        <v>2.5804830649639086</v>
      </c>
      <c r="Y192" s="4">
        <v>1.2708029556249565</v>
      </c>
      <c r="Z192" s="4">
        <v>4.8</v>
      </c>
      <c r="AA192" s="4">
        <v>226</v>
      </c>
      <c r="AB192" s="4">
        <v>886</v>
      </c>
    </row>
    <row r="193" spans="1:28" x14ac:dyDescent="0.25">
      <c r="A193" s="3">
        <v>24058</v>
      </c>
      <c r="B193" s="25" t="s">
        <v>78</v>
      </c>
      <c r="C193" s="26">
        <v>45433</v>
      </c>
      <c r="D193" s="25" t="s">
        <v>53</v>
      </c>
      <c r="E193" s="25" t="s">
        <v>54</v>
      </c>
      <c r="F193" s="25" t="s">
        <v>57</v>
      </c>
      <c r="G193" s="27">
        <v>24.2</v>
      </c>
      <c r="H193" s="28">
        <v>0.5</v>
      </c>
      <c r="I193" s="25" t="s">
        <v>80</v>
      </c>
      <c r="J193" s="3" t="s">
        <v>95</v>
      </c>
      <c r="K193" s="25" t="s">
        <v>38</v>
      </c>
      <c r="L193" s="27">
        <v>23.2</v>
      </c>
      <c r="M193" s="3">
        <v>29.5</v>
      </c>
      <c r="N193" s="4">
        <v>60.9</v>
      </c>
      <c r="O193" s="39">
        <v>1.59</v>
      </c>
      <c r="P193" s="4">
        <v>281.35631328904776</v>
      </c>
      <c r="Q193" s="4">
        <v>59.1</v>
      </c>
      <c r="R193" s="4">
        <v>1.2909999999999999</v>
      </c>
      <c r="S193" s="4">
        <v>8.484</v>
      </c>
      <c r="T193" s="4">
        <v>31.16</v>
      </c>
      <c r="U193" s="4">
        <v>8.4160000000000004</v>
      </c>
      <c r="V193" s="36">
        <v>15.2509</v>
      </c>
      <c r="W193" s="36">
        <v>19.126300000000001</v>
      </c>
      <c r="X193" s="4">
        <v>2.590338700721821</v>
      </c>
      <c r="Y193" s="4">
        <v>1.1774611762863998</v>
      </c>
      <c r="Z193" s="4">
        <v>3.96</v>
      </c>
      <c r="AA193" s="4">
        <v>219</v>
      </c>
      <c r="AB193" s="4">
        <v>868</v>
      </c>
    </row>
    <row r="194" spans="1:28" x14ac:dyDescent="0.25">
      <c r="A194" s="3">
        <v>24241</v>
      </c>
      <c r="B194" s="33" t="s">
        <v>78</v>
      </c>
      <c r="C194" s="26">
        <v>45500</v>
      </c>
      <c r="D194" s="33" t="s">
        <v>105</v>
      </c>
      <c r="E194" s="25" t="s">
        <v>54</v>
      </c>
      <c r="F194" s="25" t="s">
        <v>57</v>
      </c>
      <c r="G194" s="25">
        <v>22</v>
      </c>
      <c r="H194" s="28">
        <v>0.56736111111111109</v>
      </c>
      <c r="I194" s="33" t="s">
        <v>80</v>
      </c>
      <c r="J194" s="49" t="s">
        <v>55</v>
      </c>
      <c r="K194" s="33" t="s">
        <v>58</v>
      </c>
      <c r="L194" s="25">
        <v>2.04</v>
      </c>
      <c r="M194" s="38">
        <v>10.5</v>
      </c>
      <c r="N194" s="4">
        <v>22.3</v>
      </c>
      <c r="O194" s="43">
        <v>0.4</v>
      </c>
      <c r="P194" s="4">
        <v>318</v>
      </c>
      <c r="Q194" s="4">
        <v>15.3</v>
      </c>
      <c r="R194" s="4">
        <v>1.321</v>
      </c>
      <c r="S194" s="4">
        <v>8.2360000000000007</v>
      </c>
      <c r="T194" s="4">
        <v>28.76</v>
      </c>
      <c r="U194" s="4">
        <v>8.1720000000000006</v>
      </c>
      <c r="V194" s="36">
        <v>15.0075</v>
      </c>
      <c r="W194" s="36">
        <v>18.5138</v>
      </c>
      <c r="X194" s="4">
        <v>3.5270000000000001</v>
      </c>
      <c r="Y194" s="39">
        <v>0.16272075291006341</v>
      </c>
      <c r="Z194" s="4">
        <v>5.12</v>
      </c>
      <c r="AA194" s="4">
        <v>327</v>
      </c>
      <c r="AB194" s="4">
        <v>3320</v>
      </c>
    </row>
    <row r="195" spans="1:28" x14ac:dyDescent="0.25">
      <c r="A195" s="45">
        <v>24242</v>
      </c>
      <c r="B195" s="33" t="s">
        <v>78</v>
      </c>
      <c r="C195" s="26">
        <v>45500</v>
      </c>
      <c r="D195" s="33" t="s">
        <v>105</v>
      </c>
      <c r="E195" s="25" t="s">
        <v>54</v>
      </c>
      <c r="F195" s="25" t="s">
        <v>57</v>
      </c>
      <c r="G195" s="25">
        <v>22</v>
      </c>
      <c r="H195" s="28">
        <v>0.56736111111111109</v>
      </c>
      <c r="I195" s="33" t="s">
        <v>80</v>
      </c>
      <c r="J195" s="49" t="s">
        <v>55</v>
      </c>
      <c r="K195" s="33" t="s">
        <v>75</v>
      </c>
      <c r="L195" s="25">
        <v>19.55</v>
      </c>
      <c r="M195" s="3">
        <v>48.7</v>
      </c>
      <c r="N195" s="4">
        <v>108</v>
      </c>
      <c r="O195" s="39">
        <v>1.46</v>
      </c>
      <c r="P195" s="4">
        <v>356</v>
      </c>
      <c r="Q195" s="39">
        <v>7.57</v>
      </c>
      <c r="R195" s="4">
        <v>1.4279999999999999</v>
      </c>
      <c r="S195" s="4">
        <v>8.2420000000000009</v>
      </c>
      <c r="T195" s="4">
        <v>28.74</v>
      </c>
      <c r="U195" s="4">
        <v>8.42</v>
      </c>
      <c r="V195" s="36">
        <v>14.574</v>
      </c>
      <c r="W195" s="36">
        <v>18.079000000000001</v>
      </c>
      <c r="X195" s="4">
        <v>2.4569999999999999</v>
      </c>
      <c r="Y195" s="4">
        <v>3.3087627115591589</v>
      </c>
      <c r="Z195" s="4">
        <v>1.89</v>
      </c>
      <c r="AA195" s="6">
        <v>207</v>
      </c>
      <c r="AB195" s="6">
        <v>1190</v>
      </c>
    </row>
    <row r="196" spans="1:28" x14ac:dyDescent="0.25">
      <c r="A196" s="3">
        <v>24243</v>
      </c>
      <c r="B196" s="33" t="s">
        <v>78</v>
      </c>
      <c r="C196" s="26">
        <v>45500</v>
      </c>
      <c r="D196" s="33" t="s">
        <v>105</v>
      </c>
      <c r="E196" s="25" t="s">
        <v>54</v>
      </c>
      <c r="F196" s="25" t="s">
        <v>57</v>
      </c>
      <c r="G196" s="25">
        <v>22</v>
      </c>
      <c r="H196" s="28">
        <v>0.56736111111111109</v>
      </c>
      <c r="I196" s="33" t="s">
        <v>80</v>
      </c>
      <c r="J196" s="49" t="s">
        <v>55</v>
      </c>
      <c r="K196" s="33" t="s">
        <v>38</v>
      </c>
      <c r="L196" s="25">
        <v>24.14</v>
      </c>
      <c r="M196" s="3">
        <v>59.3</v>
      </c>
      <c r="N196" s="4">
        <v>90.8</v>
      </c>
      <c r="O196" s="39">
        <v>1.76</v>
      </c>
      <c r="P196" s="4">
        <v>370</v>
      </c>
      <c r="Q196" s="39">
        <v>13.8</v>
      </c>
      <c r="R196" s="4">
        <v>1.3740000000000001</v>
      </c>
      <c r="S196" s="4">
        <v>8.4700000000000006</v>
      </c>
      <c r="T196" s="4">
        <v>30.42</v>
      </c>
      <c r="U196" s="4">
        <v>8.4740000000000002</v>
      </c>
      <c r="V196" s="36">
        <v>14.8652</v>
      </c>
      <c r="W196" s="36">
        <v>18.388999999999999</v>
      </c>
      <c r="X196" s="4">
        <v>2.4180000000000001</v>
      </c>
      <c r="Y196" s="4">
        <v>3.7419677019638509</v>
      </c>
      <c r="Z196" s="4">
        <v>1.96</v>
      </c>
      <c r="AA196" s="4">
        <v>230</v>
      </c>
      <c r="AB196" s="4">
        <v>1070</v>
      </c>
    </row>
    <row r="197" spans="1:28" x14ac:dyDescent="0.25">
      <c r="A197" s="3">
        <v>43</v>
      </c>
      <c r="B197" s="25" t="s">
        <v>78</v>
      </c>
      <c r="C197" s="26">
        <v>45549</v>
      </c>
      <c r="D197" s="25" t="s">
        <v>53</v>
      </c>
      <c r="E197" s="25" t="s">
        <v>54</v>
      </c>
      <c r="F197" s="25" t="s">
        <v>57</v>
      </c>
      <c r="G197" s="27">
        <v>24.1</v>
      </c>
      <c r="H197" s="28">
        <v>0.59027777777777779</v>
      </c>
      <c r="I197" s="25" t="s">
        <v>68</v>
      </c>
      <c r="J197" s="3" t="s">
        <v>55</v>
      </c>
      <c r="K197" s="25" t="s">
        <v>58</v>
      </c>
      <c r="L197" s="27">
        <v>5.0999999999999996</v>
      </c>
      <c r="M197" s="41">
        <v>6.95</v>
      </c>
      <c r="N197" s="43">
        <v>0.88</v>
      </c>
      <c r="O197" s="39">
        <v>0.96</v>
      </c>
      <c r="P197" s="4">
        <v>253</v>
      </c>
      <c r="Q197" s="4">
        <v>20</v>
      </c>
      <c r="R197" s="4">
        <v>1.1839999999999999</v>
      </c>
      <c r="S197" s="4">
        <v>8.4380000000000006</v>
      </c>
      <c r="T197" s="4">
        <v>30.02</v>
      </c>
      <c r="U197" s="4">
        <v>8.27</v>
      </c>
      <c r="V197" s="36">
        <v>15.5883</v>
      </c>
      <c r="W197" s="36">
        <v>19.507400000000001</v>
      </c>
      <c r="X197" s="4">
        <v>2.379</v>
      </c>
      <c r="Y197" s="4">
        <v>0.86382374536037121</v>
      </c>
      <c r="Z197" s="4">
        <v>5.08</v>
      </c>
      <c r="AA197" s="4">
        <v>255</v>
      </c>
      <c r="AB197" s="4">
        <v>1430</v>
      </c>
    </row>
    <row r="198" spans="1:28" x14ac:dyDescent="0.25">
      <c r="A198" s="3">
        <v>44</v>
      </c>
      <c r="B198" s="25" t="s">
        <v>78</v>
      </c>
      <c r="C198" s="26">
        <v>45549</v>
      </c>
      <c r="D198" s="25" t="s">
        <v>53</v>
      </c>
      <c r="E198" s="25" t="s">
        <v>54</v>
      </c>
      <c r="F198" s="25" t="s">
        <v>57</v>
      </c>
      <c r="G198" s="27">
        <v>24.1</v>
      </c>
      <c r="H198" s="28">
        <v>0.59027777777777779</v>
      </c>
      <c r="I198" s="25" t="s">
        <v>68</v>
      </c>
      <c r="J198" s="3" t="s">
        <v>55</v>
      </c>
      <c r="K198" s="25" t="s">
        <v>75</v>
      </c>
      <c r="L198" s="27">
        <v>12.1</v>
      </c>
      <c r="M198" s="3">
        <v>19.7</v>
      </c>
      <c r="N198" s="39">
        <v>1.8</v>
      </c>
      <c r="O198" s="43">
        <v>0.4</v>
      </c>
      <c r="P198" s="4">
        <v>227</v>
      </c>
      <c r="Q198" s="39">
        <v>12.8</v>
      </c>
      <c r="R198" s="4">
        <v>1.276</v>
      </c>
      <c r="S198" s="4">
        <v>8.7379999999999995</v>
      </c>
      <c r="T198" s="4">
        <v>30.58</v>
      </c>
      <c r="U198" s="4">
        <v>8.4480000000000004</v>
      </c>
      <c r="V198" s="36">
        <v>15.5512</v>
      </c>
      <c r="W198" s="36">
        <v>19.437100000000001</v>
      </c>
      <c r="X198" s="4">
        <v>2.44</v>
      </c>
      <c r="Y198" s="4">
        <v>0.86180185773425599</v>
      </c>
      <c r="Z198" s="4">
        <v>3.64</v>
      </c>
      <c r="AA198" s="4">
        <v>251</v>
      </c>
      <c r="AB198" s="4">
        <v>1100</v>
      </c>
    </row>
    <row r="199" spans="1:28" x14ac:dyDescent="0.25">
      <c r="A199" s="3">
        <v>45</v>
      </c>
      <c r="B199" s="25" t="s">
        <v>78</v>
      </c>
      <c r="C199" s="26">
        <v>45549</v>
      </c>
      <c r="D199" s="25" t="s">
        <v>53</v>
      </c>
      <c r="E199" s="25" t="s">
        <v>54</v>
      </c>
      <c r="F199" s="25" t="s">
        <v>57</v>
      </c>
      <c r="G199" s="27">
        <v>24.1</v>
      </c>
      <c r="H199" s="28">
        <v>0.59027777777777779</v>
      </c>
      <c r="I199" s="25" t="s">
        <v>68</v>
      </c>
      <c r="J199" s="3" t="s">
        <v>55</v>
      </c>
      <c r="K199" s="25" t="s">
        <v>38</v>
      </c>
      <c r="L199" s="27">
        <v>23.3</v>
      </c>
      <c r="M199" s="5">
        <v>34.200000000000003</v>
      </c>
      <c r="N199" s="39">
        <v>3.68</v>
      </c>
      <c r="O199" s="43">
        <v>0.4</v>
      </c>
      <c r="P199" s="4">
        <v>236</v>
      </c>
      <c r="Q199" s="39">
        <v>10.9</v>
      </c>
      <c r="R199" s="4">
        <v>1.3380000000000001</v>
      </c>
      <c r="S199" s="4">
        <v>7.6219999999999999</v>
      </c>
      <c r="T199" s="4">
        <v>29.74</v>
      </c>
      <c r="U199" s="4">
        <v>8.4960000000000004</v>
      </c>
      <c r="V199" s="36">
        <v>15.902699999999999</v>
      </c>
      <c r="W199" s="36">
        <v>19.805499999999999</v>
      </c>
      <c r="X199" s="4">
        <v>2.5310000000000001</v>
      </c>
      <c r="Y199" s="4">
        <v>0.88175651369416697</v>
      </c>
      <c r="Z199" s="4">
        <v>1.72</v>
      </c>
      <c r="AA199" s="6">
        <v>167</v>
      </c>
      <c r="AB199" s="6">
        <v>640</v>
      </c>
    </row>
    <row r="200" spans="1:28" x14ac:dyDescent="0.25">
      <c r="A200" s="45">
        <v>24265</v>
      </c>
      <c r="B200" s="34" t="s">
        <v>106</v>
      </c>
      <c r="C200" s="26">
        <v>45501</v>
      </c>
      <c r="D200" s="33" t="s">
        <v>105</v>
      </c>
      <c r="E200" s="25" t="s">
        <v>54</v>
      </c>
      <c r="F200" s="25" t="s">
        <v>57</v>
      </c>
      <c r="G200" s="25">
        <v>22</v>
      </c>
      <c r="H200" s="29">
        <v>0.49722222222222223</v>
      </c>
      <c r="I200" s="34" t="s">
        <v>80</v>
      </c>
      <c r="J200" s="49" t="s">
        <v>95</v>
      </c>
      <c r="K200" s="34" t="s">
        <v>58</v>
      </c>
      <c r="L200">
        <v>2.0299999999999998</v>
      </c>
      <c r="M200" s="38">
        <v>7.77</v>
      </c>
      <c r="N200" s="39">
        <v>4.04</v>
      </c>
      <c r="O200" s="43">
        <v>0.4</v>
      </c>
      <c r="P200" s="4">
        <v>268</v>
      </c>
      <c r="Q200" s="39">
        <v>10</v>
      </c>
      <c r="R200" s="4">
        <v>1.254</v>
      </c>
      <c r="S200" s="4">
        <v>8.1219999999999999</v>
      </c>
      <c r="T200" s="4">
        <v>29.88</v>
      </c>
      <c r="U200" s="4">
        <v>8.3160000000000007</v>
      </c>
      <c r="V200" s="36">
        <v>14.2591</v>
      </c>
      <c r="W200" s="36">
        <v>18.1144</v>
      </c>
      <c r="X200" s="4">
        <v>2.6890000000000001</v>
      </c>
      <c r="Y200" s="39">
        <v>0.19965288367200049</v>
      </c>
      <c r="Z200" s="4">
        <v>3.04</v>
      </c>
      <c r="AA200" s="6">
        <v>281</v>
      </c>
      <c r="AB200" s="6">
        <v>2540</v>
      </c>
    </row>
    <row r="201" spans="1:28" x14ac:dyDescent="0.25">
      <c r="A201" s="3">
        <v>24266</v>
      </c>
      <c r="B201" s="34" t="s">
        <v>106</v>
      </c>
      <c r="C201" s="26">
        <v>45501</v>
      </c>
      <c r="D201" s="33" t="s">
        <v>105</v>
      </c>
      <c r="E201" s="25" t="s">
        <v>54</v>
      </c>
      <c r="F201" s="25" t="s">
        <v>57</v>
      </c>
      <c r="G201" s="25">
        <v>22</v>
      </c>
      <c r="H201" s="29">
        <v>0.49722222222222223</v>
      </c>
      <c r="I201" s="34" t="s">
        <v>80</v>
      </c>
      <c r="J201" s="49" t="s">
        <v>95</v>
      </c>
      <c r="K201" s="34" t="s">
        <v>75</v>
      </c>
      <c r="L201">
        <v>10.74</v>
      </c>
      <c r="M201" s="3">
        <v>16.8</v>
      </c>
      <c r="N201" s="4">
        <v>25.4</v>
      </c>
      <c r="O201" s="39">
        <v>1.1599999999999999</v>
      </c>
      <c r="P201" s="4">
        <v>244</v>
      </c>
      <c r="Q201" s="39">
        <v>3.48</v>
      </c>
      <c r="R201" s="4">
        <v>1.2929999999999999</v>
      </c>
      <c r="S201" s="4">
        <v>8.0440000000000005</v>
      </c>
      <c r="T201" s="4">
        <v>29.36</v>
      </c>
      <c r="U201" s="4">
        <v>8.2940000000000005</v>
      </c>
      <c r="V201" s="36">
        <v>14.221399999999999</v>
      </c>
      <c r="W201" s="36">
        <v>17.783899999999999</v>
      </c>
      <c r="X201" s="4">
        <v>2.6139999999999999</v>
      </c>
      <c r="Y201" s="39">
        <v>0.49465287919620954</v>
      </c>
      <c r="Z201" s="4">
        <v>3.68</v>
      </c>
      <c r="AA201" s="4">
        <v>223</v>
      </c>
      <c r="AB201" s="4">
        <v>1970</v>
      </c>
    </row>
    <row r="202" spans="1:28" x14ac:dyDescent="0.25">
      <c r="A202" s="45">
        <v>24267</v>
      </c>
      <c r="B202" s="34" t="s">
        <v>106</v>
      </c>
      <c r="C202" s="26">
        <v>45501</v>
      </c>
      <c r="D202" s="33" t="s">
        <v>105</v>
      </c>
      <c r="E202" s="25" t="s">
        <v>54</v>
      </c>
      <c r="F202" s="25" t="s">
        <v>57</v>
      </c>
      <c r="G202" s="25">
        <v>22</v>
      </c>
      <c r="H202" s="29">
        <v>0.49722222222222223</v>
      </c>
      <c r="I202" s="34" t="s">
        <v>80</v>
      </c>
      <c r="J202" s="49" t="s">
        <v>95</v>
      </c>
      <c r="K202" s="34" t="s">
        <v>38</v>
      </c>
      <c r="L202">
        <v>22.19</v>
      </c>
      <c r="M202" s="3">
        <v>73.8</v>
      </c>
      <c r="N202" s="4">
        <v>139</v>
      </c>
      <c r="O202" s="39">
        <v>1.55</v>
      </c>
      <c r="P202" s="4">
        <v>429</v>
      </c>
      <c r="Q202" s="4">
        <v>23.7</v>
      </c>
      <c r="R202" s="4">
        <v>1.321</v>
      </c>
      <c r="S202" s="4">
        <v>8.548</v>
      </c>
      <c r="T202" s="4">
        <v>32.04</v>
      </c>
      <c r="U202" s="4">
        <v>8.5239999999999991</v>
      </c>
      <c r="V202" s="36">
        <v>14.798</v>
      </c>
      <c r="W202" s="36">
        <v>18.4148</v>
      </c>
      <c r="X202" s="4">
        <v>2.4449999999999998</v>
      </c>
      <c r="Y202" s="4">
        <v>6.104130187968436</v>
      </c>
      <c r="Z202" s="4">
        <v>1.96</v>
      </c>
      <c r="AA202" s="6">
        <v>251</v>
      </c>
      <c r="AB202" s="6">
        <v>1370</v>
      </c>
    </row>
    <row r="203" spans="1:28" x14ac:dyDescent="0.25">
      <c r="A203" s="45">
        <v>24268</v>
      </c>
      <c r="B203" s="34" t="s">
        <v>106</v>
      </c>
      <c r="C203" s="26">
        <v>45501</v>
      </c>
      <c r="D203" s="33" t="s">
        <v>105</v>
      </c>
      <c r="E203" s="25" t="s">
        <v>54</v>
      </c>
      <c r="F203" s="25" t="s">
        <v>57</v>
      </c>
      <c r="G203" s="25">
        <v>22</v>
      </c>
      <c r="H203" s="29">
        <v>0.49722222222222223</v>
      </c>
      <c r="I203" s="34" t="s">
        <v>80</v>
      </c>
      <c r="J203" s="49" t="s">
        <v>95</v>
      </c>
      <c r="K203" s="34" t="s">
        <v>76</v>
      </c>
      <c r="L203">
        <v>22.19</v>
      </c>
      <c r="M203" s="3">
        <v>69.099999999999994</v>
      </c>
      <c r="N203" s="4">
        <v>131</v>
      </c>
      <c r="O203" s="39">
        <v>1.25</v>
      </c>
      <c r="P203" s="4">
        <v>453</v>
      </c>
      <c r="Q203" s="4">
        <v>22.3</v>
      </c>
      <c r="R203" s="4">
        <v>1.355</v>
      </c>
      <c r="S203" s="4">
        <v>8.8219999999999992</v>
      </c>
      <c r="T203" s="4">
        <v>31.38</v>
      </c>
      <c r="U203" s="4">
        <v>8.4960000000000004</v>
      </c>
      <c r="V203" s="36">
        <v>15.2507</v>
      </c>
      <c r="W203" s="36">
        <v>18.4346</v>
      </c>
      <c r="X203" s="4">
        <v>2.714</v>
      </c>
      <c r="Y203" s="4">
        <v>6.0338800025110508</v>
      </c>
      <c r="Z203" s="4">
        <v>2.08</v>
      </c>
      <c r="AA203" s="4">
        <v>243</v>
      </c>
      <c r="AB203" s="4">
        <v>1460</v>
      </c>
    </row>
    <row r="204" spans="1:28" x14ac:dyDescent="0.25">
      <c r="A204" s="3">
        <v>24061</v>
      </c>
      <c r="B204" s="25" t="s">
        <v>84</v>
      </c>
      <c r="C204" s="26">
        <v>45433</v>
      </c>
      <c r="D204" s="25" t="s">
        <v>53</v>
      </c>
      <c r="E204" s="25" t="s">
        <v>54</v>
      </c>
      <c r="F204" s="25" t="s">
        <v>57</v>
      </c>
      <c r="G204" s="27">
        <v>23</v>
      </c>
      <c r="H204" s="28">
        <v>0.66666666666666663</v>
      </c>
      <c r="I204" s="25" t="s">
        <v>68</v>
      </c>
      <c r="J204" s="3" t="s">
        <v>95</v>
      </c>
      <c r="K204" s="25" t="s">
        <v>75</v>
      </c>
      <c r="L204" s="27">
        <v>5</v>
      </c>
      <c r="M204" s="38">
        <v>13.1</v>
      </c>
      <c r="N204" s="4">
        <v>29.5</v>
      </c>
      <c r="O204" s="39">
        <v>0.81699999999999995</v>
      </c>
      <c r="P204" s="4">
        <v>239.25605643951079</v>
      </c>
      <c r="Q204" s="4">
        <v>74</v>
      </c>
      <c r="R204" s="4">
        <v>1.254</v>
      </c>
      <c r="S204" s="4">
        <v>8.51</v>
      </c>
      <c r="T204" s="4">
        <v>29.36</v>
      </c>
      <c r="U204" s="4">
        <v>8.4420000000000002</v>
      </c>
      <c r="V204" s="36">
        <v>15.511200000000001</v>
      </c>
      <c r="W204" s="36">
        <v>19.083600000000001</v>
      </c>
      <c r="X204" s="4">
        <v>2.5527207107162684</v>
      </c>
      <c r="Y204" s="39">
        <v>0.41969564038338758</v>
      </c>
      <c r="Z204" s="4">
        <v>0.88</v>
      </c>
      <c r="AA204" s="4">
        <v>222</v>
      </c>
      <c r="AB204" s="4">
        <v>654</v>
      </c>
    </row>
    <row r="205" spans="1:28" x14ac:dyDescent="0.25">
      <c r="A205" s="3">
        <v>24062</v>
      </c>
      <c r="B205" s="25" t="s">
        <v>84</v>
      </c>
      <c r="C205" s="26">
        <v>45433</v>
      </c>
      <c r="D205" s="25" t="s">
        <v>53</v>
      </c>
      <c r="E205" s="25" t="s">
        <v>54</v>
      </c>
      <c r="F205" s="25" t="s">
        <v>57</v>
      </c>
      <c r="G205" s="27">
        <v>23</v>
      </c>
      <c r="H205" s="28">
        <v>0.66666666666666663</v>
      </c>
      <c r="I205" s="25" t="s">
        <v>68</v>
      </c>
      <c r="J205" s="3" t="s">
        <v>95</v>
      </c>
      <c r="K205" s="25" t="s">
        <v>38</v>
      </c>
      <c r="L205" s="27">
        <v>21.7</v>
      </c>
      <c r="M205" s="3">
        <v>20.3</v>
      </c>
      <c r="N205" s="4">
        <v>51.7</v>
      </c>
      <c r="O205" s="39">
        <v>1.39</v>
      </c>
      <c r="P205" s="4">
        <v>258.24244678341961</v>
      </c>
      <c r="Q205" s="39">
        <v>6.92</v>
      </c>
      <c r="R205" s="4">
        <v>1.276</v>
      </c>
      <c r="S205" s="4">
        <v>8.5180000000000007</v>
      </c>
      <c r="T205" s="4">
        <v>31.08</v>
      </c>
      <c r="U205" s="4">
        <v>8.4939999999999998</v>
      </c>
      <c r="V205" s="36">
        <v>15.2174</v>
      </c>
      <c r="W205" s="36">
        <v>19.125299999999999</v>
      </c>
      <c r="X205" s="4">
        <v>2.5014991671293725</v>
      </c>
      <c r="Y205" s="4">
        <v>1.2198892578039255</v>
      </c>
      <c r="Z205" s="4">
        <v>2.56</v>
      </c>
      <c r="AA205" s="4">
        <v>87.3</v>
      </c>
      <c r="AB205" s="4">
        <v>485</v>
      </c>
    </row>
    <row r="206" spans="1:28" x14ac:dyDescent="0.25">
      <c r="A206" s="3">
        <v>67</v>
      </c>
      <c r="B206" s="25" t="s">
        <v>84</v>
      </c>
      <c r="C206" s="26">
        <v>45550</v>
      </c>
      <c r="D206" s="25" t="s">
        <v>53</v>
      </c>
      <c r="E206" s="25" t="s">
        <v>54</v>
      </c>
      <c r="F206" s="25" t="s">
        <v>57</v>
      </c>
      <c r="G206" s="27">
        <v>22.3</v>
      </c>
      <c r="H206" s="28">
        <v>0.2590277777777778</v>
      </c>
      <c r="I206" s="25" t="s">
        <v>68</v>
      </c>
      <c r="J206" s="3" t="s">
        <v>55</v>
      </c>
      <c r="K206" s="25" t="s">
        <v>58</v>
      </c>
      <c r="L206" s="27">
        <v>5</v>
      </c>
      <c r="M206" s="40">
        <v>12.1</v>
      </c>
      <c r="N206" s="39">
        <v>2.0299999999999998</v>
      </c>
      <c r="O206" s="43">
        <v>0.4</v>
      </c>
      <c r="P206" s="4">
        <v>276</v>
      </c>
      <c r="Q206" s="4">
        <v>17.100000000000001</v>
      </c>
      <c r="R206" s="4">
        <v>1.3520000000000001</v>
      </c>
      <c r="S206" s="4">
        <v>7.9279999999999999</v>
      </c>
      <c r="T206" s="4">
        <v>30.28</v>
      </c>
      <c r="U206" s="4">
        <v>8.4740000000000002</v>
      </c>
      <c r="V206" s="36">
        <v>15.5145</v>
      </c>
      <c r="W206" s="36">
        <v>19.4818</v>
      </c>
      <c r="X206" s="4">
        <v>2.44</v>
      </c>
      <c r="Y206" s="4">
        <v>1.2838684295881324</v>
      </c>
      <c r="Z206" s="4">
        <v>7.84</v>
      </c>
      <c r="AA206" s="4">
        <v>295</v>
      </c>
      <c r="AB206" s="4">
        <v>1700</v>
      </c>
    </row>
    <row r="207" spans="1:28" x14ac:dyDescent="0.25">
      <c r="A207" s="3">
        <v>68</v>
      </c>
      <c r="B207" s="25" t="s">
        <v>84</v>
      </c>
      <c r="C207" s="26">
        <v>45550</v>
      </c>
      <c r="D207" s="25" t="s">
        <v>53</v>
      </c>
      <c r="E207" s="25" t="s">
        <v>54</v>
      </c>
      <c r="F207" s="25" t="s">
        <v>57</v>
      </c>
      <c r="G207" s="27">
        <v>22.3</v>
      </c>
      <c r="H207" s="28">
        <v>0.2590277777777778</v>
      </c>
      <c r="I207" s="25" t="s">
        <v>68</v>
      </c>
      <c r="J207" s="3" t="s">
        <v>55</v>
      </c>
      <c r="K207" s="25" t="s">
        <v>75</v>
      </c>
      <c r="L207" s="27">
        <v>11.5</v>
      </c>
      <c r="M207" s="5">
        <v>29.7</v>
      </c>
      <c r="N207" s="4">
        <v>9.9700000000000006</v>
      </c>
      <c r="O207" s="39">
        <v>0.90900000000000003</v>
      </c>
      <c r="P207" s="4">
        <v>259</v>
      </c>
      <c r="Q207" s="4">
        <v>17.899999999999999</v>
      </c>
      <c r="R207" s="4">
        <v>1.3779999999999999</v>
      </c>
      <c r="S207" s="4">
        <v>7.6760000000000002</v>
      </c>
      <c r="T207" s="4">
        <v>30.1</v>
      </c>
      <c r="U207" s="4">
        <v>8.5120000000000005</v>
      </c>
      <c r="V207" s="36">
        <v>15.4015</v>
      </c>
      <c r="W207" s="36">
        <v>19.1631</v>
      </c>
      <c r="X207" s="4">
        <v>2.4239999999999999</v>
      </c>
      <c r="Y207" s="4">
        <v>1.4889210151041858</v>
      </c>
      <c r="Z207" s="4">
        <v>7.04</v>
      </c>
      <c r="AA207" s="6">
        <v>284</v>
      </c>
      <c r="AB207" s="6">
        <v>1680</v>
      </c>
    </row>
    <row r="208" spans="1:28" x14ac:dyDescent="0.25">
      <c r="A208" s="3">
        <v>69</v>
      </c>
      <c r="B208" s="25" t="s">
        <v>84</v>
      </c>
      <c r="C208" s="26">
        <v>45550</v>
      </c>
      <c r="D208" s="25" t="s">
        <v>53</v>
      </c>
      <c r="E208" s="25" t="s">
        <v>54</v>
      </c>
      <c r="F208" s="25" t="s">
        <v>57</v>
      </c>
      <c r="G208" s="27">
        <v>22.3</v>
      </c>
      <c r="H208" s="28">
        <v>0.2590277777777778</v>
      </c>
      <c r="I208" s="25" t="s">
        <v>68</v>
      </c>
      <c r="J208" s="3" t="s">
        <v>55</v>
      </c>
      <c r="K208" s="25" t="s">
        <v>38</v>
      </c>
      <c r="L208" s="27">
        <v>21.9</v>
      </c>
      <c r="M208" s="3">
        <v>169</v>
      </c>
      <c r="N208" s="39">
        <v>2.7</v>
      </c>
      <c r="O208" s="4">
        <v>12.2</v>
      </c>
      <c r="P208" s="4">
        <v>421</v>
      </c>
      <c r="Q208" s="4">
        <v>65.599999999999994</v>
      </c>
      <c r="R208" s="4">
        <v>1.3129999999999999</v>
      </c>
      <c r="S208" s="4">
        <v>8.4239999999999995</v>
      </c>
      <c r="T208" s="4">
        <v>31.52</v>
      </c>
      <c r="U208" s="4">
        <v>8.4540000000000006</v>
      </c>
      <c r="V208" s="36">
        <v>14.8165</v>
      </c>
      <c r="W208" s="36">
        <v>17.3706</v>
      </c>
      <c r="X208" s="4">
        <v>2.7090000000000001</v>
      </c>
      <c r="Y208" s="4">
        <v>3.466636977808458</v>
      </c>
      <c r="Z208" s="4">
        <v>3.92</v>
      </c>
      <c r="AA208" s="4">
        <v>342</v>
      </c>
      <c r="AB208" s="4">
        <v>1420</v>
      </c>
    </row>
    <row r="209" spans="1:28" x14ac:dyDescent="0.25">
      <c r="A209" s="3">
        <v>24209</v>
      </c>
      <c r="B209" s="25" t="s">
        <v>71</v>
      </c>
      <c r="C209" s="26">
        <v>45498</v>
      </c>
      <c r="D209" s="33" t="s">
        <v>105</v>
      </c>
      <c r="E209" s="25" t="s">
        <v>54</v>
      </c>
      <c r="F209" s="25" t="s">
        <v>57</v>
      </c>
      <c r="G209" s="25">
        <v>10.6</v>
      </c>
      <c r="H209" s="28">
        <v>0.66736111111111107</v>
      </c>
      <c r="I209" s="25" t="s">
        <v>56</v>
      </c>
      <c r="J209" s="3" t="s">
        <v>55</v>
      </c>
      <c r="K209" s="25" t="s">
        <v>58</v>
      </c>
      <c r="L209" s="25">
        <v>1.75</v>
      </c>
      <c r="M209" s="38">
        <v>14.1</v>
      </c>
      <c r="N209" s="4">
        <v>168</v>
      </c>
      <c r="O209" s="39">
        <v>0.89300000000000002</v>
      </c>
      <c r="P209" s="4">
        <v>401</v>
      </c>
      <c r="Q209" s="39">
        <v>6.84</v>
      </c>
      <c r="R209" s="4">
        <v>1.034</v>
      </c>
      <c r="S209" s="4">
        <v>5.8739999999999997</v>
      </c>
      <c r="T209" s="4">
        <v>23.1</v>
      </c>
      <c r="U209" s="4">
        <v>7.6479999999999997</v>
      </c>
      <c r="V209" s="36">
        <v>10.2753</v>
      </c>
      <c r="W209" s="36">
        <v>15.005000000000001</v>
      </c>
      <c r="X209" s="4">
        <v>2.2090000000000001</v>
      </c>
      <c r="Y209" s="4">
        <v>1.8100876018857517</v>
      </c>
      <c r="Z209" s="4">
        <v>4</v>
      </c>
      <c r="AA209" s="4">
        <v>362</v>
      </c>
      <c r="AB209" s="4">
        <v>3480</v>
      </c>
    </row>
    <row r="210" spans="1:28" x14ac:dyDescent="0.25">
      <c r="A210" s="3">
        <v>24211</v>
      </c>
      <c r="B210" s="25" t="s">
        <v>71</v>
      </c>
      <c r="C210" s="26">
        <v>45498</v>
      </c>
      <c r="D210" s="33" t="s">
        <v>105</v>
      </c>
      <c r="E210" s="25" t="s">
        <v>54</v>
      </c>
      <c r="F210" s="25" t="s">
        <v>57</v>
      </c>
      <c r="G210" s="25">
        <v>10.6</v>
      </c>
      <c r="H210" s="28">
        <v>0.66736111111111107</v>
      </c>
      <c r="I210" s="25" t="s">
        <v>56</v>
      </c>
      <c r="J210" s="3" t="s">
        <v>55</v>
      </c>
      <c r="K210" s="25" t="s">
        <v>38</v>
      </c>
      <c r="L210" s="25">
        <v>8.32</v>
      </c>
      <c r="M210" s="3">
        <v>16.399999999999999</v>
      </c>
      <c r="N210" s="4">
        <v>203</v>
      </c>
      <c r="O210" s="39">
        <v>1.18</v>
      </c>
      <c r="P210" s="4">
        <v>395</v>
      </c>
      <c r="Q210" s="39">
        <v>3.98</v>
      </c>
      <c r="R210" s="4">
        <v>1.101</v>
      </c>
      <c r="S210" s="4">
        <v>5.8120000000000003</v>
      </c>
      <c r="T210" s="4">
        <v>22.38</v>
      </c>
      <c r="U210" s="4">
        <v>7.7439999999999998</v>
      </c>
      <c r="V210" s="36">
        <v>10.6692</v>
      </c>
      <c r="W210" s="36">
        <v>15.4824</v>
      </c>
      <c r="X210" s="4">
        <v>2.3359999999999999</v>
      </c>
      <c r="Y210" s="4">
        <v>1.71106131607991</v>
      </c>
      <c r="Z210" s="4">
        <v>4.76</v>
      </c>
      <c r="AA210" s="6">
        <v>343</v>
      </c>
      <c r="AB210" s="6">
        <v>2660</v>
      </c>
    </row>
    <row r="211" spans="1:28" x14ac:dyDescent="0.25">
      <c r="A211" s="3">
        <v>24017</v>
      </c>
      <c r="B211" s="25" t="s">
        <v>71</v>
      </c>
      <c r="C211" s="26">
        <v>45432</v>
      </c>
      <c r="D211" s="25" t="s">
        <v>53</v>
      </c>
      <c r="E211" s="25" t="s">
        <v>54</v>
      </c>
      <c r="F211" s="25" t="s">
        <v>57</v>
      </c>
      <c r="G211" s="27">
        <v>10.4</v>
      </c>
      <c r="H211" s="28">
        <v>0.95833333333333337</v>
      </c>
      <c r="I211" s="25" t="s">
        <v>68</v>
      </c>
      <c r="J211" s="3" t="s">
        <v>55</v>
      </c>
      <c r="K211" s="25" t="s">
        <v>75</v>
      </c>
      <c r="L211" s="27">
        <v>5.2</v>
      </c>
      <c r="M211" s="3">
        <v>18.899999999999999</v>
      </c>
      <c r="N211" s="4">
        <v>470</v>
      </c>
      <c r="O211" s="39">
        <v>0.94099999999999995</v>
      </c>
      <c r="P211" s="4">
        <v>605</v>
      </c>
      <c r="Q211" s="39">
        <v>8.23</v>
      </c>
      <c r="R211" s="4">
        <v>1.087</v>
      </c>
      <c r="S211" s="4">
        <v>7.1820000000000004</v>
      </c>
      <c r="T211" s="4">
        <v>27.12</v>
      </c>
      <c r="U211" s="4">
        <v>8.1999999999999993</v>
      </c>
      <c r="V211" s="36">
        <v>13.0153</v>
      </c>
      <c r="W211" s="36">
        <v>16.676300000000001</v>
      </c>
      <c r="X211" s="4">
        <v>2.4566629650194334</v>
      </c>
      <c r="Y211" s="4">
        <v>1.4490008979985651</v>
      </c>
      <c r="Z211" s="4">
        <v>2.4</v>
      </c>
      <c r="AA211" s="4">
        <v>306</v>
      </c>
      <c r="AB211" s="4">
        <v>1780</v>
      </c>
    </row>
    <row r="212" spans="1:28" x14ac:dyDescent="0.25">
      <c r="A212" s="3">
        <v>24018</v>
      </c>
      <c r="B212" s="25" t="s">
        <v>71</v>
      </c>
      <c r="C212" s="26">
        <v>45432</v>
      </c>
      <c r="D212" s="25" t="s">
        <v>53</v>
      </c>
      <c r="E212" s="25" t="s">
        <v>54</v>
      </c>
      <c r="F212" s="25" t="s">
        <v>57</v>
      </c>
      <c r="G212" s="27">
        <v>10.4</v>
      </c>
      <c r="H212" s="28">
        <v>0.95833333333333337</v>
      </c>
      <c r="I212" s="25" t="s">
        <v>68</v>
      </c>
      <c r="J212" s="3" t="s">
        <v>55</v>
      </c>
      <c r="K212" s="25" t="s">
        <v>38</v>
      </c>
      <c r="L212" s="27">
        <v>9.1</v>
      </c>
      <c r="M212" s="3">
        <v>22.1</v>
      </c>
      <c r="N212" s="4">
        <v>510</v>
      </c>
      <c r="O212" s="39">
        <v>2.0099999999999998</v>
      </c>
      <c r="P212" s="4">
        <v>666</v>
      </c>
      <c r="Q212" s="39">
        <v>13.4</v>
      </c>
      <c r="R212" s="4">
        <v>1.141</v>
      </c>
      <c r="S212" s="4">
        <v>6.9740000000000002</v>
      </c>
      <c r="T212" s="4">
        <v>25.46</v>
      </c>
      <c r="U212" s="4">
        <v>8.0679999999999996</v>
      </c>
      <c r="V212" s="36">
        <v>12.2814</v>
      </c>
      <c r="W212" s="36">
        <v>16.476800000000001</v>
      </c>
      <c r="X212" s="4">
        <v>2.337423653525819</v>
      </c>
      <c r="Y212" s="4">
        <v>1.9326810272983601</v>
      </c>
      <c r="Z212" s="4">
        <v>1.99</v>
      </c>
      <c r="AA212" s="4">
        <v>220</v>
      </c>
      <c r="AB212" s="4">
        <v>854</v>
      </c>
    </row>
    <row r="213" spans="1:28" x14ac:dyDescent="0.25">
      <c r="A213" s="3">
        <v>22</v>
      </c>
      <c r="B213" s="25" t="s">
        <v>71</v>
      </c>
      <c r="C213" s="26">
        <v>45549</v>
      </c>
      <c r="D213" s="25" t="s">
        <v>53</v>
      </c>
      <c r="E213" s="25" t="s">
        <v>54</v>
      </c>
      <c r="F213" s="25" t="s">
        <v>57</v>
      </c>
      <c r="G213" s="27">
        <v>9.8000000000000007</v>
      </c>
      <c r="H213" s="28">
        <v>6.9444444444444441E-3</v>
      </c>
      <c r="I213" s="25" t="s">
        <v>68</v>
      </c>
      <c r="J213" s="3" t="s">
        <v>55</v>
      </c>
      <c r="K213" s="25" t="s">
        <v>58</v>
      </c>
      <c r="L213" s="27">
        <v>5</v>
      </c>
      <c r="M213" s="5">
        <v>22.3</v>
      </c>
      <c r="N213" s="4">
        <v>185</v>
      </c>
      <c r="O213" s="43">
        <v>0.4</v>
      </c>
      <c r="P213" s="4">
        <v>446</v>
      </c>
      <c r="Q213" s="4">
        <v>25.5</v>
      </c>
      <c r="R213" s="4">
        <v>0.98799999999999999</v>
      </c>
      <c r="S213" s="4">
        <v>5.4379999999999997</v>
      </c>
      <c r="T213" s="4">
        <v>25.6</v>
      </c>
      <c r="U213" s="4">
        <v>7.61</v>
      </c>
      <c r="V213" s="36">
        <v>10.284000000000001</v>
      </c>
      <c r="W213" s="36">
        <v>16.387799999999999</v>
      </c>
      <c r="X213" s="7" t="s">
        <v>0</v>
      </c>
      <c r="Y213" s="4">
        <v>2.3138161563501516</v>
      </c>
      <c r="Z213" s="7" t="s">
        <v>0</v>
      </c>
      <c r="AA213" s="4">
        <v>467</v>
      </c>
      <c r="AB213" s="4">
        <v>1671.997790099593</v>
      </c>
    </row>
    <row r="214" spans="1:28" x14ac:dyDescent="0.25">
      <c r="A214" s="3">
        <v>24</v>
      </c>
      <c r="B214" s="25" t="s">
        <v>71</v>
      </c>
      <c r="C214" s="26">
        <v>45549</v>
      </c>
      <c r="D214" s="25" t="s">
        <v>53</v>
      </c>
      <c r="E214" s="25" t="s">
        <v>54</v>
      </c>
      <c r="F214" s="25" t="s">
        <v>57</v>
      </c>
      <c r="G214" s="27">
        <v>9.8000000000000007</v>
      </c>
      <c r="H214" s="28">
        <v>6.9444444444444441E-3</v>
      </c>
      <c r="I214" s="25" t="s">
        <v>68</v>
      </c>
      <c r="J214" s="3" t="s">
        <v>55</v>
      </c>
      <c r="K214" s="25" t="s">
        <v>38</v>
      </c>
      <c r="L214" s="27">
        <v>9.3000000000000007</v>
      </c>
      <c r="M214" s="5">
        <v>17.100000000000001</v>
      </c>
      <c r="N214" s="4">
        <v>200</v>
      </c>
      <c r="O214" s="4">
        <v>6.18</v>
      </c>
      <c r="P214" s="4">
        <v>437</v>
      </c>
      <c r="Q214" s="4">
        <v>31.8</v>
      </c>
      <c r="R214" s="4">
        <v>1.121</v>
      </c>
      <c r="S214" s="4">
        <v>4.694</v>
      </c>
      <c r="T214" s="4">
        <v>25.6</v>
      </c>
      <c r="U214" s="4">
        <v>7.94</v>
      </c>
      <c r="V214" s="36">
        <v>10.6205</v>
      </c>
      <c r="W214" s="36">
        <v>16.751799999999999</v>
      </c>
      <c r="X214" s="7" t="s">
        <v>0</v>
      </c>
      <c r="Y214" s="4">
        <v>2.339434396827003</v>
      </c>
      <c r="Z214" s="7" t="s">
        <v>0</v>
      </c>
      <c r="AA214" s="6">
        <v>761</v>
      </c>
      <c r="AB214" s="6">
        <v>1840</v>
      </c>
    </row>
    <row r="215" spans="1:28" x14ac:dyDescent="0.25">
      <c r="A215" s="3" t="s">
        <v>89</v>
      </c>
      <c r="B215" s="25" t="s">
        <v>72</v>
      </c>
      <c r="C215" s="26">
        <v>45549</v>
      </c>
      <c r="D215" s="25" t="s">
        <v>53</v>
      </c>
      <c r="E215" s="25" t="s">
        <v>54</v>
      </c>
      <c r="F215" s="25" t="s">
        <v>57</v>
      </c>
      <c r="G215" s="27">
        <v>9.8000000000000007</v>
      </c>
      <c r="H215" s="28">
        <v>6.5277777777777782E-2</v>
      </c>
      <c r="I215" s="25" t="s">
        <v>68</v>
      </c>
      <c r="J215" s="3" t="s">
        <v>55</v>
      </c>
      <c r="K215" s="25" t="s">
        <v>58</v>
      </c>
      <c r="L215" s="27">
        <v>5</v>
      </c>
      <c r="M215" s="5">
        <v>20.7</v>
      </c>
      <c r="N215" s="4">
        <v>189</v>
      </c>
      <c r="O215" s="43">
        <v>0.4</v>
      </c>
      <c r="P215" s="4">
        <v>412</v>
      </c>
      <c r="Q215" s="4">
        <v>16.2</v>
      </c>
      <c r="R215" s="4">
        <v>0.997</v>
      </c>
      <c r="S215" s="4">
        <v>5.48</v>
      </c>
      <c r="T215" s="4">
        <v>25.42</v>
      </c>
      <c r="U215" s="4">
        <v>7.718</v>
      </c>
      <c r="V215" s="36">
        <v>10.1549</v>
      </c>
      <c r="W215" s="36">
        <v>16.218699999999998</v>
      </c>
      <c r="X215" s="4">
        <v>2.1520000000000001</v>
      </c>
      <c r="Y215" s="4">
        <v>2.2455008484118815</v>
      </c>
      <c r="Z215" s="4">
        <v>5.76</v>
      </c>
      <c r="AA215" s="6">
        <v>405</v>
      </c>
      <c r="AB215" s="6">
        <v>1630</v>
      </c>
    </row>
    <row r="216" spans="1:28" x14ac:dyDescent="0.25">
      <c r="A216" s="3" t="s">
        <v>90</v>
      </c>
      <c r="B216" s="25" t="s">
        <v>72</v>
      </c>
      <c r="C216" s="26">
        <v>45549</v>
      </c>
      <c r="D216" s="25" t="s">
        <v>53</v>
      </c>
      <c r="E216" s="25" t="s">
        <v>54</v>
      </c>
      <c r="F216" s="25" t="s">
        <v>57</v>
      </c>
      <c r="G216" s="27">
        <v>9.8000000000000007</v>
      </c>
      <c r="H216" s="28">
        <v>6.5277777777777782E-2</v>
      </c>
      <c r="I216" s="25" t="s">
        <v>68</v>
      </c>
      <c r="J216" s="3" t="s">
        <v>55</v>
      </c>
      <c r="K216" s="25" t="s">
        <v>38</v>
      </c>
      <c r="L216" s="27">
        <v>9.3000000000000007</v>
      </c>
      <c r="M216" s="5">
        <v>18.5</v>
      </c>
      <c r="N216" s="4">
        <v>191</v>
      </c>
      <c r="O216" s="43">
        <v>0.4</v>
      </c>
      <c r="P216" s="4">
        <v>408</v>
      </c>
      <c r="Q216" s="39">
        <v>12.5</v>
      </c>
      <c r="R216" s="4">
        <v>1.0669999999999999</v>
      </c>
      <c r="S216" s="4">
        <v>5.5919999999999996</v>
      </c>
      <c r="T216" s="4">
        <v>25.88</v>
      </c>
      <c r="U216" s="4">
        <v>7.73</v>
      </c>
      <c r="V216" s="36">
        <v>10.266999999999999</v>
      </c>
      <c r="W216" s="36">
        <v>16.340599999999998</v>
      </c>
      <c r="X216" s="4">
        <v>2.1760000000000002</v>
      </c>
      <c r="Y216" s="4">
        <v>2.2407804953297146</v>
      </c>
      <c r="Z216" s="4">
        <v>6.08</v>
      </c>
      <c r="AA216" s="6">
        <v>341</v>
      </c>
      <c r="AB216" s="6">
        <v>1400</v>
      </c>
    </row>
    <row r="217" spans="1:28" x14ac:dyDescent="0.25">
      <c r="A217" s="3">
        <v>24021</v>
      </c>
      <c r="B217" s="25" t="s">
        <v>73</v>
      </c>
      <c r="C217" s="26">
        <v>45433</v>
      </c>
      <c r="D217" s="25" t="s">
        <v>53</v>
      </c>
      <c r="E217" s="25" t="s">
        <v>54</v>
      </c>
      <c r="F217" s="25" t="s">
        <v>57</v>
      </c>
      <c r="G217" s="27">
        <v>11.1</v>
      </c>
      <c r="H217" s="28">
        <v>2.4999999999999998E-2</v>
      </c>
      <c r="I217" s="25" t="s">
        <v>68</v>
      </c>
      <c r="J217" s="3" t="s">
        <v>55</v>
      </c>
      <c r="K217" s="25" t="s">
        <v>75</v>
      </c>
      <c r="L217" s="27">
        <v>5.6</v>
      </c>
      <c r="M217" s="38">
        <v>12.5</v>
      </c>
      <c r="N217" s="4">
        <v>499</v>
      </c>
      <c r="O217" s="39">
        <v>0.89700000000000002</v>
      </c>
      <c r="P217" s="4">
        <v>613.20539669128027</v>
      </c>
      <c r="Q217" s="39">
        <v>5.99</v>
      </c>
      <c r="R217" s="4">
        <v>1.1140000000000001</v>
      </c>
      <c r="S217" s="4">
        <v>6.8540000000000001</v>
      </c>
      <c r="T217" s="4">
        <v>25.44</v>
      </c>
      <c r="U217" s="4">
        <v>7.976</v>
      </c>
      <c r="V217" s="36">
        <v>12.039300000000001</v>
      </c>
      <c r="W217" s="36">
        <v>16.703700000000001</v>
      </c>
      <c r="X217" s="4">
        <v>2.4275124930594116</v>
      </c>
      <c r="Y217" s="4">
        <v>0.93986391978825479</v>
      </c>
      <c r="Z217" s="4">
        <v>1.79</v>
      </c>
      <c r="AA217" s="4">
        <v>118</v>
      </c>
      <c r="AB217" s="4">
        <v>725</v>
      </c>
    </row>
    <row r="218" spans="1:28" x14ac:dyDescent="0.25">
      <c r="A218" s="3">
        <v>24022</v>
      </c>
      <c r="B218" s="25" t="s">
        <v>73</v>
      </c>
      <c r="C218" s="26">
        <v>45433</v>
      </c>
      <c r="D218" s="25" t="s">
        <v>53</v>
      </c>
      <c r="E218" s="25" t="s">
        <v>54</v>
      </c>
      <c r="F218" s="25" t="s">
        <v>57</v>
      </c>
      <c r="G218" s="27">
        <v>11.1</v>
      </c>
      <c r="H218" s="28">
        <v>2.4999999999999998E-2</v>
      </c>
      <c r="I218" s="25" t="s">
        <v>68</v>
      </c>
      <c r="J218" s="3" t="s">
        <v>55</v>
      </c>
      <c r="K218" s="25" t="s">
        <v>38</v>
      </c>
      <c r="L218" s="27">
        <v>10.1</v>
      </c>
      <c r="M218" s="38">
        <v>9.76</v>
      </c>
      <c r="N218" s="4">
        <v>474</v>
      </c>
      <c r="O218" s="39">
        <v>1.08</v>
      </c>
      <c r="P218" s="4">
        <v>597.52098727674695</v>
      </c>
      <c r="Q218" s="39">
        <v>5.36</v>
      </c>
      <c r="R218" s="4">
        <v>1.0780000000000001</v>
      </c>
      <c r="S218" s="4">
        <v>6.766</v>
      </c>
      <c r="T218" s="4">
        <v>27.32</v>
      </c>
      <c r="U218" s="4">
        <v>8.016</v>
      </c>
      <c r="V218" s="36">
        <v>11.749000000000001</v>
      </c>
      <c r="W218" s="36">
        <v>16.4757</v>
      </c>
      <c r="X218" s="4">
        <v>2.5885341476957251</v>
      </c>
      <c r="Y218" s="4">
        <v>1.0586625480373273</v>
      </c>
      <c r="Z218" s="4">
        <v>1.57</v>
      </c>
      <c r="AA218" s="4">
        <v>142</v>
      </c>
      <c r="AB218" s="4">
        <v>737</v>
      </c>
    </row>
    <row r="219" spans="1:28" x14ac:dyDescent="0.25">
      <c r="A219" s="3">
        <v>24213</v>
      </c>
      <c r="B219" s="25" t="s">
        <v>73</v>
      </c>
      <c r="C219" s="26">
        <v>45499</v>
      </c>
      <c r="D219" s="33" t="s">
        <v>105</v>
      </c>
      <c r="E219" s="25" t="s">
        <v>54</v>
      </c>
      <c r="F219" s="25" t="s">
        <v>57</v>
      </c>
      <c r="G219" s="25">
        <v>9.1999999999999993</v>
      </c>
      <c r="H219" s="28">
        <v>0.33333333333333331</v>
      </c>
      <c r="I219" s="25" t="s">
        <v>56</v>
      </c>
      <c r="J219" s="3" t="s">
        <v>55</v>
      </c>
      <c r="K219" s="25" t="s">
        <v>58</v>
      </c>
      <c r="L219" s="25">
        <v>2.0299999999999998</v>
      </c>
      <c r="M219" s="38">
        <v>15.4</v>
      </c>
      <c r="N219" s="4">
        <v>172</v>
      </c>
      <c r="O219" s="39">
        <v>1.6</v>
      </c>
      <c r="P219" s="4">
        <v>393</v>
      </c>
      <c r="Q219" s="39">
        <v>10.8</v>
      </c>
      <c r="R219" s="4">
        <v>0.98899999999999999</v>
      </c>
      <c r="S219" s="4">
        <v>5.6260000000000003</v>
      </c>
      <c r="T219" s="4">
        <v>24.92</v>
      </c>
      <c r="U219" s="4">
        <v>7.8159999999999998</v>
      </c>
      <c r="V219" s="36">
        <v>9.8367000000000004</v>
      </c>
      <c r="W219" s="36">
        <v>15.0046</v>
      </c>
      <c r="X219" s="4">
        <v>2.2999999999999998</v>
      </c>
      <c r="Y219" s="4">
        <v>1.5729932259670758</v>
      </c>
      <c r="Z219" s="4">
        <v>6.16</v>
      </c>
      <c r="AA219" s="4">
        <v>370</v>
      </c>
      <c r="AB219" s="4">
        <v>2960</v>
      </c>
    </row>
    <row r="220" spans="1:28" x14ac:dyDescent="0.25">
      <c r="A220" s="45">
        <v>24215</v>
      </c>
      <c r="B220" s="25" t="s">
        <v>73</v>
      </c>
      <c r="C220" s="26">
        <v>45499</v>
      </c>
      <c r="D220" s="33" t="s">
        <v>105</v>
      </c>
      <c r="E220" s="25" t="s">
        <v>54</v>
      </c>
      <c r="F220" s="25" t="s">
        <v>57</v>
      </c>
      <c r="G220" s="25">
        <v>9.1999999999999993</v>
      </c>
      <c r="H220" s="28">
        <v>0.33333333333333331</v>
      </c>
      <c r="I220" s="25" t="s">
        <v>56</v>
      </c>
      <c r="J220" s="3" t="s">
        <v>55</v>
      </c>
      <c r="K220" s="25" t="s">
        <v>38</v>
      </c>
      <c r="L220" s="25">
        <v>7.08</v>
      </c>
      <c r="M220" s="3">
        <v>16.5</v>
      </c>
      <c r="N220" s="4">
        <v>163</v>
      </c>
      <c r="O220" s="39">
        <v>1.61</v>
      </c>
      <c r="P220" s="4">
        <v>362</v>
      </c>
      <c r="Q220" s="39">
        <v>6.03</v>
      </c>
      <c r="R220" s="4">
        <v>1.002</v>
      </c>
      <c r="S220" s="4">
        <v>5.62</v>
      </c>
      <c r="T220" s="4">
        <v>23.48</v>
      </c>
      <c r="U220" s="4">
        <v>7.8280000000000003</v>
      </c>
      <c r="V220" s="36">
        <v>9.8173999999999992</v>
      </c>
      <c r="W220" s="36">
        <v>14.853999999999999</v>
      </c>
      <c r="X220" s="4">
        <v>2.2730000000000001</v>
      </c>
      <c r="Y220" s="4">
        <v>1.5642119527849028</v>
      </c>
      <c r="Z220" s="4">
        <v>6.2</v>
      </c>
      <c r="AA220" s="4">
        <v>328</v>
      </c>
      <c r="AB220" s="4">
        <v>2730</v>
      </c>
    </row>
    <row r="221" spans="1:28" x14ac:dyDescent="0.25">
      <c r="A221" s="3">
        <v>25</v>
      </c>
      <c r="B221" s="25" t="s">
        <v>73</v>
      </c>
      <c r="C221" s="26">
        <v>45549</v>
      </c>
      <c r="D221" s="25" t="s">
        <v>53</v>
      </c>
      <c r="E221" s="25" t="s">
        <v>54</v>
      </c>
      <c r="F221" s="25" t="s">
        <v>57</v>
      </c>
      <c r="G221" s="27">
        <v>10.5</v>
      </c>
      <c r="H221" s="28">
        <v>0.12638888888888888</v>
      </c>
      <c r="I221" s="25" t="s">
        <v>68</v>
      </c>
      <c r="J221" s="3" t="s">
        <v>55</v>
      </c>
      <c r="K221" s="25" t="s">
        <v>58</v>
      </c>
      <c r="L221" s="27">
        <v>5.6</v>
      </c>
      <c r="M221" s="5">
        <v>14.9</v>
      </c>
      <c r="N221" s="4">
        <v>123</v>
      </c>
      <c r="O221" s="43">
        <v>0.4</v>
      </c>
      <c r="P221" s="4">
        <v>410</v>
      </c>
      <c r="Q221" s="4">
        <v>18.100000000000001</v>
      </c>
      <c r="R221" s="4">
        <v>1.1259999999999999</v>
      </c>
      <c r="S221" s="4">
        <v>6.7720000000000002</v>
      </c>
      <c r="T221" s="4">
        <v>25.92</v>
      </c>
      <c r="U221" s="4">
        <v>8.0280000000000005</v>
      </c>
      <c r="V221" s="36">
        <v>12.62</v>
      </c>
      <c r="W221" s="36">
        <v>17.549199999999999</v>
      </c>
      <c r="X221" s="4">
        <v>2.298</v>
      </c>
      <c r="Y221" s="4">
        <v>2.1980612066805367</v>
      </c>
      <c r="Z221" s="4">
        <v>4</v>
      </c>
      <c r="AA221" s="4">
        <v>281</v>
      </c>
      <c r="AB221" s="4">
        <v>1690</v>
      </c>
    </row>
    <row r="222" spans="1:28" x14ac:dyDescent="0.25">
      <c r="A222" s="3">
        <v>27</v>
      </c>
      <c r="B222" s="25" t="s">
        <v>73</v>
      </c>
      <c r="C222" s="26">
        <v>45549</v>
      </c>
      <c r="D222" s="25" t="s">
        <v>53</v>
      </c>
      <c r="E222" s="25" t="s">
        <v>54</v>
      </c>
      <c r="F222" s="25" t="s">
        <v>57</v>
      </c>
      <c r="G222" s="27">
        <v>10.5</v>
      </c>
      <c r="H222" s="28">
        <v>0.12638888888888888</v>
      </c>
      <c r="I222" s="25" t="s">
        <v>68</v>
      </c>
      <c r="J222" s="3" t="s">
        <v>55</v>
      </c>
      <c r="K222" s="25" t="s">
        <v>38</v>
      </c>
      <c r="L222" s="27">
        <v>10</v>
      </c>
      <c r="M222" s="38">
        <v>15.1</v>
      </c>
      <c r="N222" s="4">
        <v>123</v>
      </c>
      <c r="O222" s="43">
        <v>0.4</v>
      </c>
      <c r="P222" s="4">
        <v>380</v>
      </c>
      <c r="Q222" s="39">
        <v>14.4</v>
      </c>
      <c r="R222" s="4">
        <v>1.125</v>
      </c>
      <c r="S222" s="4">
        <v>6.79</v>
      </c>
      <c r="T222" s="4">
        <v>25.98</v>
      </c>
      <c r="U222" s="4">
        <v>8.06</v>
      </c>
      <c r="V222" s="36">
        <v>12.292400000000001</v>
      </c>
      <c r="W222" s="36">
        <v>17.101400000000002</v>
      </c>
      <c r="X222" s="4">
        <v>2.282</v>
      </c>
      <c r="Y222" s="4">
        <v>2.2198826079350304</v>
      </c>
      <c r="Z222" s="4">
        <v>7.72</v>
      </c>
      <c r="AA222" s="4">
        <v>248</v>
      </c>
      <c r="AB222" s="4">
        <v>1670</v>
      </c>
    </row>
    <row r="223" spans="1:28" x14ac:dyDescent="0.25">
      <c r="A223" s="3">
        <v>24126</v>
      </c>
      <c r="B223" s="25" t="s">
        <v>115</v>
      </c>
      <c r="C223" s="26">
        <v>45435</v>
      </c>
      <c r="D223" s="25" t="s">
        <v>53</v>
      </c>
      <c r="E223" s="25" t="s">
        <v>54</v>
      </c>
      <c r="F223" s="25" t="s">
        <v>57</v>
      </c>
      <c r="G223" s="27">
        <v>17</v>
      </c>
      <c r="H223" s="28">
        <v>0.17083333333333331</v>
      </c>
      <c r="I223" s="25" t="s">
        <v>68</v>
      </c>
      <c r="J223" s="3" t="s">
        <v>55</v>
      </c>
      <c r="K223" s="25" t="s">
        <v>38</v>
      </c>
      <c r="L223" s="27">
        <v>15.9</v>
      </c>
      <c r="M223" s="3">
        <v>50.3</v>
      </c>
      <c r="N223" s="4">
        <v>513</v>
      </c>
      <c r="O223" s="39">
        <v>0.81699999999999995</v>
      </c>
      <c r="P223" s="4">
        <v>768</v>
      </c>
      <c r="Q223" s="39">
        <v>10.199999999999999</v>
      </c>
      <c r="R223" s="4">
        <v>1.4139999999999999</v>
      </c>
      <c r="S223" s="4">
        <v>10.055999999999999</v>
      </c>
      <c r="T223" s="4">
        <v>30.56</v>
      </c>
      <c r="U223" s="4">
        <v>8.6300000000000008</v>
      </c>
      <c r="V223" s="36">
        <v>17.824300000000001</v>
      </c>
      <c r="W223" s="36">
        <v>19.768899999999999</v>
      </c>
      <c r="X223" s="4">
        <v>2.6127686185332579</v>
      </c>
      <c r="Y223" s="4">
        <v>0.89743583827072893</v>
      </c>
      <c r="Z223" s="4">
        <v>5.2</v>
      </c>
      <c r="AA223" s="4">
        <v>153</v>
      </c>
      <c r="AB223" s="4">
        <v>1860</v>
      </c>
    </row>
    <row r="224" spans="1:28" x14ac:dyDescent="0.25">
      <c r="A224" s="3">
        <v>24127</v>
      </c>
      <c r="B224" s="25" t="s">
        <v>115</v>
      </c>
      <c r="C224" s="26">
        <v>45435</v>
      </c>
      <c r="D224" s="25" t="s">
        <v>53</v>
      </c>
      <c r="E224" s="25" t="s">
        <v>54</v>
      </c>
      <c r="F224" s="25" t="s">
        <v>57</v>
      </c>
      <c r="G224" s="27">
        <v>17</v>
      </c>
      <c r="H224" s="28">
        <v>0.17083333333333331</v>
      </c>
      <c r="I224" s="25" t="s">
        <v>68</v>
      </c>
      <c r="J224" s="3" t="s">
        <v>55</v>
      </c>
      <c r="K224" s="25" t="s">
        <v>76</v>
      </c>
      <c r="L224" s="27"/>
      <c r="M224" s="3">
        <v>52.7</v>
      </c>
      <c r="N224" s="4">
        <v>509</v>
      </c>
      <c r="O224" s="43">
        <v>0.4</v>
      </c>
      <c r="P224" s="4">
        <v>710.61383410785606</v>
      </c>
      <c r="Q224" s="39">
        <v>7.08</v>
      </c>
      <c r="R224" s="4">
        <v>1.407</v>
      </c>
      <c r="S224" s="4">
        <v>9.9879999999999995</v>
      </c>
      <c r="T224" s="4">
        <v>30</v>
      </c>
      <c r="U224" s="4">
        <v>8.5399999999999991</v>
      </c>
      <c r="V224" s="36">
        <v>17.8492</v>
      </c>
      <c r="W224" s="36">
        <v>19.7973</v>
      </c>
      <c r="X224" s="4">
        <v>2.7550369528140992</v>
      </c>
      <c r="Y224" s="4">
        <v>0.90592145457423401</v>
      </c>
      <c r="Z224" s="4">
        <v>11.68</v>
      </c>
      <c r="AA224" s="4">
        <v>149</v>
      </c>
      <c r="AB224" s="4">
        <v>1930</v>
      </c>
    </row>
    <row r="225" spans="1:29" x14ac:dyDescent="0.25">
      <c r="A225" s="3">
        <v>73</v>
      </c>
      <c r="B225" s="25" t="s">
        <v>115</v>
      </c>
      <c r="C225" s="26">
        <v>45550</v>
      </c>
      <c r="D225" s="25" t="s">
        <v>53</v>
      </c>
      <c r="E225" s="25" t="s">
        <v>54</v>
      </c>
      <c r="F225" s="25" t="s">
        <v>57</v>
      </c>
      <c r="G225" s="27">
        <v>16.8</v>
      </c>
      <c r="H225" s="28">
        <v>0.40972222222222227</v>
      </c>
      <c r="I225" s="25" t="s">
        <v>68</v>
      </c>
      <c r="J225" s="3" t="s">
        <v>55</v>
      </c>
      <c r="K225" s="25" t="s">
        <v>58</v>
      </c>
      <c r="L225" s="27">
        <v>5.0999999999999996</v>
      </c>
      <c r="M225" s="38">
        <v>7.54</v>
      </c>
      <c r="N225" s="43">
        <v>0.88</v>
      </c>
      <c r="O225" s="43">
        <v>0.4</v>
      </c>
      <c r="P225" s="4">
        <v>233</v>
      </c>
      <c r="Q225" s="39">
        <v>13.7</v>
      </c>
      <c r="R225" s="4">
        <v>1.379</v>
      </c>
      <c r="S225" s="4">
        <v>8.2899999999999991</v>
      </c>
      <c r="T225" s="4">
        <v>30.96</v>
      </c>
      <c r="U225" s="4">
        <v>8.5559999999999992</v>
      </c>
      <c r="V225" s="36">
        <v>16.756699999999999</v>
      </c>
      <c r="W225" s="36">
        <v>19.500800000000002</v>
      </c>
      <c r="X225" s="4">
        <v>2.4580000000000002</v>
      </c>
      <c r="Y225" s="4">
        <v>1.4803771573743501</v>
      </c>
      <c r="Z225" s="4">
        <v>6.16</v>
      </c>
      <c r="AA225" s="6">
        <v>211</v>
      </c>
      <c r="AB225" s="6">
        <v>1210</v>
      </c>
    </row>
    <row r="226" spans="1:29" x14ac:dyDescent="0.25">
      <c r="A226" s="3">
        <v>74</v>
      </c>
      <c r="B226" s="25" t="s">
        <v>115</v>
      </c>
      <c r="C226" s="26">
        <v>45550</v>
      </c>
      <c r="D226" s="25" t="s">
        <v>53</v>
      </c>
      <c r="E226" s="25" t="s">
        <v>54</v>
      </c>
      <c r="F226" s="25" t="s">
        <v>57</v>
      </c>
      <c r="G226" s="27">
        <v>16.8</v>
      </c>
      <c r="H226" s="28">
        <v>0.40972222222222227</v>
      </c>
      <c r="I226" s="25" t="s">
        <v>68</v>
      </c>
      <c r="J226" s="3" t="s">
        <v>55</v>
      </c>
      <c r="K226" s="25" t="s">
        <v>75</v>
      </c>
      <c r="L226" s="27">
        <v>8.4</v>
      </c>
      <c r="M226" s="38">
        <v>5.58</v>
      </c>
      <c r="N226" s="43">
        <v>0.88</v>
      </c>
      <c r="O226" s="43">
        <v>0.4</v>
      </c>
      <c r="P226" s="4">
        <v>221</v>
      </c>
      <c r="Q226" s="4">
        <v>23.4</v>
      </c>
      <c r="R226" s="24" t="s">
        <v>52</v>
      </c>
      <c r="S226" s="24" t="s">
        <v>52</v>
      </c>
      <c r="T226" s="24" t="s">
        <v>52</v>
      </c>
      <c r="U226" s="24" t="s">
        <v>52</v>
      </c>
      <c r="V226" s="36">
        <v>16.565899999999999</v>
      </c>
      <c r="W226" s="36">
        <v>19.443000000000001</v>
      </c>
      <c r="X226" s="4">
        <v>2.5179999999999998</v>
      </c>
      <c r="Y226" s="4">
        <v>1.4854930475986281</v>
      </c>
      <c r="Z226" s="4">
        <v>5.6</v>
      </c>
      <c r="AA226" s="4">
        <v>227</v>
      </c>
      <c r="AB226" s="4">
        <v>1350</v>
      </c>
    </row>
    <row r="227" spans="1:29" x14ac:dyDescent="0.25">
      <c r="A227" s="3">
        <v>75</v>
      </c>
      <c r="B227" s="25" t="s">
        <v>115</v>
      </c>
      <c r="C227" s="26">
        <v>45550</v>
      </c>
      <c r="D227" s="25" t="s">
        <v>53</v>
      </c>
      <c r="E227" s="25" t="s">
        <v>54</v>
      </c>
      <c r="F227" s="25" t="s">
        <v>57</v>
      </c>
      <c r="G227" s="27">
        <v>16.8</v>
      </c>
      <c r="H227" s="28">
        <v>0.40972222222222227</v>
      </c>
      <c r="I227" s="25" t="s">
        <v>68</v>
      </c>
      <c r="J227" s="3" t="s">
        <v>55</v>
      </c>
      <c r="K227" s="25" t="s">
        <v>38</v>
      </c>
      <c r="L227" s="27">
        <v>15.8</v>
      </c>
      <c r="M227" s="41">
        <v>6.8</v>
      </c>
      <c r="N227" s="43">
        <v>0.88</v>
      </c>
      <c r="O227" s="43">
        <v>0.4</v>
      </c>
      <c r="P227" s="4">
        <v>237</v>
      </c>
      <c r="Q227" s="4">
        <v>57.7</v>
      </c>
      <c r="R227" s="4">
        <v>1.298</v>
      </c>
      <c r="S227" s="4">
        <v>7.9779999999999998</v>
      </c>
      <c r="T227" s="4">
        <v>30.94</v>
      </c>
      <c r="U227" s="4">
        <v>8.5719999999999992</v>
      </c>
      <c r="V227" s="36">
        <v>16.7621</v>
      </c>
      <c r="W227" s="36">
        <v>19.715</v>
      </c>
      <c r="X227" s="4">
        <v>2.5350000000000001</v>
      </c>
      <c r="Y227" s="4">
        <v>1.4940324610909119</v>
      </c>
      <c r="Z227" s="4">
        <v>5.8</v>
      </c>
      <c r="AA227" s="6">
        <v>185</v>
      </c>
      <c r="AB227" s="6">
        <v>1270</v>
      </c>
    </row>
    <row r="228" spans="1:29" x14ac:dyDescent="0.25">
      <c r="A228" s="3">
        <v>117</v>
      </c>
      <c r="B228" s="25" t="s">
        <v>115</v>
      </c>
      <c r="C228" s="26">
        <v>45550</v>
      </c>
      <c r="D228" s="25" t="s">
        <v>53</v>
      </c>
      <c r="E228" s="25" t="s">
        <v>54</v>
      </c>
      <c r="F228" s="25" t="s">
        <v>57</v>
      </c>
      <c r="G228" s="27">
        <v>16.8</v>
      </c>
      <c r="H228" s="28">
        <v>0.40972222222222227</v>
      </c>
      <c r="I228" s="25" t="s">
        <v>68</v>
      </c>
      <c r="J228" s="3" t="s">
        <v>55</v>
      </c>
      <c r="K228" s="25" t="s">
        <v>76</v>
      </c>
      <c r="L228" s="27">
        <v>15.8</v>
      </c>
      <c r="M228" s="40">
        <v>11.4</v>
      </c>
      <c r="N228" s="43">
        <v>0.88</v>
      </c>
      <c r="O228" s="43">
        <v>0.4</v>
      </c>
      <c r="P228" s="4">
        <v>241</v>
      </c>
      <c r="Q228" s="39">
        <v>12.7</v>
      </c>
      <c r="R228" s="4">
        <v>1.3759999999999999</v>
      </c>
      <c r="S228" s="4">
        <v>8.6720000000000006</v>
      </c>
      <c r="T228" s="4">
        <v>31.82</v>
      </c>
      <c r="U228" s="4">
        <v>8.7539999999999996</v>
      </c>
      <c r="V228" s="36">
        <v>16.988</v>
      </c>
      <c r="W228" s="36">
        <v>19.9224</v>
      </c>
      <c r="X228" s="4">
        <v>2.4820000000000002</v>
      </c>
      <c r="Y228" s="4">
        <v>1.4940324610909119</v>
      </c>
      <c r="Z228" s="4">
        <v>5.76</v>
      </c>
      <c r="AA228" s="6">
        <v>199</v>
      </c>
      <c r="AB228" s="6">
        <v>1380</v>
      </c>
    </row>
    <row r="229" spans="1:29" x14ac:dyDescent="0.25">
      <c r="A229" s="45">
        <v>24285</v>
      </c>
      <c r="B229" s="25" t="s">
        <v>115</v>
      </c>
      <c r="C229" s="31"/>
      <c r="D229" s="33" t="s">
        <v>105</v>
      </c>
      <c r="E229" s="25" t="s">
        <v>54</v>
      </c>
      <c r="F229" s="25" t="s">
        <v>57</v>
      </c>
      <c r="G229" s="50" t="s">
        <v>110</v>
      </c>
      <c r="H229" s="32"/>
      <c r="I229" s="30"/>
      <c r="J229" s="8"/>
      <c r="K229" s="30" t="s">
        <v>58</v>
      </c>
      <c r="L229" s="30"/>
      <c r="M229" s="38">
        <v>7.52</v>
      </c>
      <c r="N229" s="4">
        <v>23.3</v>
      </c>
      <c r="O229" s="39">
        <v>1.2</v>
      </c>
      <c r="P229" s="4">
        <v>277</v>
      </c>
      <c r="Q229" s="39">
        <v>6.43</v>
      </c>
      <c r="R229" s="4">
        <v>1.3480000000000001</v>
      </c>
      <c r="S229" s="4">
        <v>8.6440000000000001</v>
      </c>
      <c r="T229" s="4">
        <v>29.38</v>
      </c>
      <c r="U229" s="4">
        <v>8.3699999999999992</v>
      </c>
      <c r="V229" s="36">
        <v>15.3179</v>
      </c>
      <c r="W229" s="36">
        <v>18.474499999999999</v>
      </c>
      <c r="X229" s="4">
        <v>2.7490000000000001</v>
      </c>
      <c r="Y229" s="4">
        <v>0.6421782686567189</v>
      </c>
      <c r="Z229" s="4">
        <v>6.28</v>
      </c>
      <c r="AA229" s="4">
        <v>307</v>
      </c>
      <c r="AB229" s="4">
        <v>3310</v>
      </c>
      <c r="AC229" s="34" t="s">
        <v>110</v>
      </c>
    </row>
    <row r="230" spans="1:29" x14ac:dyDescent="0.25">
      <c r="A230" s="3">
        <v>24287</v>
      </c>
      <c r="B230" s="25" t="s">
        <v>115</v>
      </c>
      <c r="C230" s="31"/>
      <c r="D230" s="33" t="s">
        <v>105</v>
      </c>
      <c r="E230" s="25" t="s">
        <v>54</v>
      </c>
      <c r="F230" s="25" t="s">
        <v>57</v>
      </c>
      <c r="G230" s="50" t="s">
        <v>110</v>
      </c>
      <c r="H230" s="32"/>
      <c r="I230" s="30"/>
      <c r="J230" s="8"/>
      <c r="K230" s="30" t="s">
        <v>38</v>
      </c>
      <c r="L230" s="30"/>
      <c r="M230" s="3">
        <v>97.6</v>
      </c>
      <c r="N230" s="4">
        <v>78.5</v>
      </c>
      <c r="O230" s="39">
        <v>0.98899999999999999</v>
      </c>
      <c r="P230" s="4">
        <v>424</v>
      </c>
      <c r="Q230" s="39">
        <v>8.77</v>
      </c>
      <c r="R230" s="4">
        <v>1.339</v>
      </c>
      <c r="S230" s="4">
        <v>8.7639999999999993</v>
      </c>
      <c r="T230" s="4">
        <v>31.22</v>
      </c>
      <c r="U230" s="4">
        <v>8.6300000000000008</v>
      </c>
      <c r="V230" s="36">
        <v>15.013</v>
      </c>
      <c r="W230" s="36">
        <v>18.006799999999998</v>
      </c>
      <c r="X230" s="4">
        <v>2.7509999999999999</v>
      </c>
      <c r="Y230" s="4">
        <v>3.1975287646691135</v>
      </c>
      <c r="Z230" s="4">
        <v>5.96</v>
      </c>
      <c r="AA230" s="6">
        <v>303</v>
      </c>
      <c r="AB230" s="6">
        <v>2320</v>
      </c>
      <c r="AC230" s="34" t="s">
        <v>110</v>
      </c>
    </row>
    <row r="231" spans="1:29" x14ac:dyDescent="0.25">
      <c r="A231" s="45">
        <v>24288</v>
      </c>
      <c r="B231" s="25" t="s">
        <v>115</v>
      </c>
      <c r="C231" s="31"/>
      <c r="D231" s="33" t="s">
        <v>105</v>
      </c>
      <c r="E231" s="25" t="s">
        <v>54</v>
      </c>
      <c r="F231" s="25" t="s">
        <v>57</v>
      </c>
      <c r="G231" s="50" t="s">
        <v>110</v>
      </c>
      <c r="H231" s="32"/>
      <c r="I231" s="30"/>
      <c r="J231" s="8"/>
      <c r="K231" s="30" t="s">
        <v>99</v>
      </c>
      <c r="L231" s="30"/>
      <c r="M231" s="38">
        <v>11</v>
      </c>
      <c r="N231" s="39">
        <v>5.42</v>
      </c>
      <c r="O231" s="43">
        <v>0.4</v>
      </c>
      <c r="P231" s="39">
        <v>37.700000000000003</v>
      </c>
      <c r="Q231" s="43">
        <v>1.5</v>
      </c>
      <c r="R231" s="43">
        <v>0.03</v>
      </c>
      <c r="S231" s="43">
        <v>0.03</v>
      </c>
      <c r="T231" s="43">
        <v>0.18</v>
      </c>
      <c r="U231" s="39">
        <v>6.6000000000000003E-2</v>
      </c>
      <c r="V231" s="36">
        <v>0.45839999999999997</v>
      </c>
      <c r="W231" s="36">
        <v>0.4526</v>
      </c>
      <c r="X231" s="4">
        <v>0.79290000000000005</v>
      </c>
      <c r="Y231" s="43">
        <v>0.05</v>
      </c>
      <c r="Z231" s="43">
        <v>0.05</v>
      </c>
      <c r="AA231" s="6">
        <v>44.2</v>
      </c>
      <c r="AB231" s="42">
        <v>103</v>
      </c>
      <c r="AC231" s="34" t="s">
        <v>110</v>
      </c>
    </row>
    <row r="232" spans="1:29" x14ac:dyDescent="0.25">
      <c r="A232" s="3">
        <v>61</v>
      </c>
      <c r="B232" s="25" t="s">
        <v>96</v>
      </c>
      <c r="C232" s="26">
        <v>45550</v>
      </c>
      <c r="D232" s="25" t="s">
        <v>53</v>
      </c>
      <c r="E232" s="25" t="s">
        <v>54</v>
      </c>
      <c r="F232" s="25" t="s">
        <v>57</v>
      </c>
      <c r="G232" s="27">
        <v>11.2</v>
      </c>
      <c r="H232" s="28">
        <v>8.1250000000000003E-2</v>
      </c>
      <c r="I232" s="25" t="s">
        <v>68</v>
      </c>
      <c r="J232" s="3" t="s">
        <v>55</v>
      </c>
      <c r="K232" s="25" t="s">
        <v>58</v>
      </c>
      <c r="L232" s="27">
        <v>5.9</v>
      </c>
      <c r="M232" s="38">
        <v>6.15</v>
      </c>
      <c r="N232" s="43">
        <v>0.88</v>
      </c>
      <c r="O232" s="43">
        <v>0.4</v>
      </c>
      <c r="P232" s="4">
        <v>277</v>
      </c>
      <c r="Q232" s="4">
        <v>15.6</v>
      </c>
      <c r="R232" s="4">
        <v>1.2709999999999999</v>
      </c>
      <c r="S232" s="4">
        <v>7.4260000000000002</v>
      </c>
      <c r="T232" s="4">
        <v>30.54</v>
      </c>
      <c r="U232" s="4">
        <v>8.4979999999999993</v>
      </c>
      <c r="V232" s="36">
        <v>15.4062</v>
      </c>
      <c r="W232" s="36">
        <v>19.2209</v>
      </c>
      <c r="X232" s="4">
        <v>2.4420000000000002</v>
      </c>
      <c r="Y232" s="4">
        <v>1.929542549197383</v>
      </c>
      <c r="Z232" s="4">
        <v>6.36</v>
      </c>
      <c r="AA232" s="6">
        <v>317</v>
      </c>
      <c r="AB232" s="6">
        <v>1850</v>
      </c>
    </row>
    <row r="233" spans="1:29" x14ac:dyDescent="0.25">
      <c r="A233" s="3">
        <v>63</v>
      </c>
      <c r="B233" s="25" t="s">
        <v>96</v>
      </c>
      <c r="C233" s="26">
        <v>45550</v>
      </c>
      <c r="D233" s="25" t="s">
        <v>53</v>
      </c>
      <c r="E233" s="25" t="s">
        <v>54</v>
      </c>
      <c r="F233" s="25" t="s">
        <v>57</v>
      </c>
      <c r="G233" s="27">
        <v>11.2</v>
      </c>
      <c r="H233" s="28">
        <v>8.1250000000000003E-2</v>
      </c>
      <c r="I233" s="25" t="s">
        <v>68</v>
      </c>
      <c r="J233" s="3" t="s">
        <v>55</v>
      </c>
      <c r="K233" s="25" t="s">
        <v>38</v>
      </c>
      <c r="L233" s="27">
        <v>10.8</v>
      </c>
      <c r="M233" s="38">
        <v>9.48</v>
      </c>
      <c r="N233" s="43">
        <v>0.88</v>
      </c>
      <c r="O233" s="43">
        <v>0.4</v>
      </c>
      <c r="P233" s="4">
        <v>321</v>
      </c>
      <c r="Q233" s="4">
        <v>25.6</v>
      </c>
      <c r="R233" s="4">
        <v>1.232</v>
      </c>
      <c r="S233" s="4">
        <v>8.9139999999999997</v>
      </c>
      <c r="T233" s="4">
        <v>30.6</v>
      </c>
      <c r="U233" s="4">
        <v>8.3179999999999996</v>
      </c>
      <c r="V233" s="36">
        <v>15.4247</v>
      </c>
      <c r="W233" s="36">
        <v>19.218699999999998</v>
      </c>
      <c r="X233" s="4">
        <v>2.5510000000000002</v>
      </c>
      <c r="Y233" s="4">
        <v>1.9466213761819504</v>
      </c>
      <c r="Z233" s="4">
        <v>7.32</v>
      </c>
      <c r="AA233" s="4">
        <v>343</v>
      </c>
      <c r="AB233" s="4">
        <v>2020.70879828583</v>
      </c>
    </row>
    <row r="234" spans="1:29" x14ac:dyDescent="0.25">
      <c r="A234" s="3">
        <v>24108</v>
      </c>
      <c r="B234" s="25" t="s">
        <v>96</v>
      </c>
      <c r="C234" s="26">
        <v>45434</v>
      </c>
      <c r="D234" s="25" t="s">
        <v>53</v>
      </c>
      <c r="E234" s="25" t="s">
        <v>54</v>
      </c>
      <c r="F234" s="25" t="s">
        <v>57</v>
      </c>
      <c r="G234" s="27">
        <v>11.4</v>
      </c>
      <c r="H234" s="28">
        <v>8.0555555555555561E-2</v>
      </c>
      <c r="I234" s="25" t="s">
        <v>68</v>
      </c>
      <c r="J234" s="3" t="s">
        <v>55</v>
      </c>
      <c r="K234" s="25" t="s">
        <v>58</v>
      </c>
      <c r="L234" s="27">
        <v>5</v>
      </c>
      <c r="M234" s="38">
        <v>10.9</v>
      </c>
      <c r="N234" s="4">
        <v>290</v>
      </c>
      <c r="O234" s="39">
        <v>0.82</v>
      </c>
      <c r="P234" s="4">
        <v>457</v>
      </c>
      <c r="Q234" s="39">
        <v>11.5</v>
      </c>
      <c r="R234" s="4">
        <v>1.3109999999999999</v>
      </c>
      <c r="S234" s="4">
        <v>8.0380000000000003</v>
      </c>
      <c r="T234" s="4">
        <v>32.96</v>
      </c>
      <c r="U234" s="4">
        <v>8.6639999999999997</v>
      </c>
      <c r="V234" s="36">
        <v>14.4404</v>
      </c>
      <c r="W234" s="36">
        <v>19.211600000000001</v>
      </c>
      <c r="X234" s="4">
        <v>2.5151279135872655</v>
      </c>
      <c r="Y234" s="4">
        <v>0.60977344558190338</v>
      </c>
      <c r="Z234" s="4">
        <v>2.2000000000000002</v>
      </c>
      <c r="AA234" s="4">
        <v>270</v>
      </c>
      <c r="AB234" s="4">
        <v>588</v>
      </c>
    </row>
    <row r="235" spans="1:29" x14ac:dyDescent="0.25">
      <c r="A235" s="3">
        <v>24110</v>
      </c>
      <c r="B235" s="25" t="s">
        <v>96</v>
      </c>
      <c r="C235" s="26">
        <v>45434</v>
      </c>
      <c r="D235" s="25" t="s">
        <v>53</v>
      </c>
      <c r="E235" s="25" t="s">
        <v>54</v>
      </c>
      <c r="F235" s="25" t="s">
        <v>57</v>
      </c>
      <c r="G235" s="27">
        <v>11.4</v>
      </c>
      <c r="H235" s="28">
        <v>8.0555555555555561E-2</v>
      </c>
      <c r="I235" s="25" t="s">
        <v>68</v>
      </c>
      <c r="J235" s="3" t="s">
        <v>55</v>
      </c>
      <c r="K235" s="25" t="s">
        <v>38</v>
      </c>
      <c r="L235" s="27">
        <v>10.3</v>
      </c>
      <c r="M235" s="38">
        <v>15.6</v>
      </c>
      <c r="N235" s="4">
        <v>291</v>
      </c>
      <c r="O235" s="39">
        <v>0.81799999999999995</v>
      </c>
      <c r="P235" s="4">
        <v>451.40833115188343</v>
      </c>
      <c r="Q235" s="39">
        <v>5.54</v>
      </c>
      <c r="R235" s="4">
        <v>1.361</v>
      </c>
      <c r="S235" s="4">
        <v>8.0120000000000005</v>
      </c>
      <c r="T235" s="4">
        <v>32.299999999999997</v>
      </c>
      <c r="U235" s="4">
        <v>8.43</v>
      </c>
      <c r="V235" s="36">
        <v>14.3909</v>
      </c>
      <c r="W235" s="36">
        <v>19.2684</v>
      </c>
      <c r="X235" s="4">
        <v>2.5256452529846505</v>
      </c>
      <c r="Y235" s="4">
        <v>0.57413385710718179</v>
      </c>
      <c r="Z235" s="4">
        <v>2.2400000000000002</v>
      </c>
      <c r="AA235" s="4">
        <v>172</v>
      </c>
      <c r="AB235" s="4">
        <v>648</v>
      </c>
    </row>
    <row r="236" spans="1:29" x14ac:dyDescent="0.25">
      <c r="A236" s="3">
        <v>24281</v>
      </c>
      <c r="B236" s="25" t="s">
        <v>96</v>
      </c>
      <c r="C236" s="26">
        <v>45502</v>
      </c>
      <c r="D236" s="33" t="s">
        <v>105</v>
      </c>
      <c r="E236" s="25" t="s">
        <v>54</v>
      </c>
      <c r="F236" s="25" t="s">
        <v>57</v>
      </c>
      <c r="G236" s="25">
        <v>10</v>
      </c>
      <c r="H236" s="28">
        <v>0.36180555555555555</v>
      </c>
      <c r="I236" s="25" t="s">
        <v>56</v>
      </c>
      <c r="J236" s="3" t="s">
        <v>55</v>
      </c>
      <c r="K236" s="25" t="s">
        <v>58</v>
      </c>
      <c r="L236" s="25">
        <v>2.16</v>
      </c>
      <c r="M236" s="38">
        <v>14.2</v>
      </c>
      <c r="N236" s="4">
        <v>29.2</v>
      </c>
      <c r="O236" s="39">
        <v>2.21</v>
      </c>
      <c r="P236" s="4">
        <v>289</v>
      </c>
      <c r="Q236" s="39">
        <v>11.3</v>
      </c>
      <c r="R236" s="4">
        <v>1.3</v>
      </c>
      <c r="S236" s="4">
        <v>8.08</v>
      </c>
      <c r="T236" s="4">
        <v>29.06</v>
      </c>
      <c r="U236" s="4">
        <v>8.2319999999999993</v>
      </c>
      <c r="V236" s="36">
        <v>14.1487</v>
      </c>
      <c r="W236" s="36">
        <v>17.645600000000002</v>
      </c>
      <c r="X236" s="4">
        <v>2.72</v>
      </c>
      <c r="Y236" s="39">
        <v>0.43669647619386659</v>
      </c>
      <c r="Z236" s="4">
        <v>3.28</v>
      </c>
      <c r="AA236" s="6">
        <v>283</v>
      </c>
      <c r="AB236" s="6">
        <v>2250</v>
      </c>
    </row>
    <row r="237" spans="1:29" x14ac:dyDescent="0.25">
      <c r="A237" s="3">
        <v>24283</v>
      </c>
      <c r="B237" s="25" t="s">
        <v>96</v>
      </c>
      <c r="C237" s="26">
        <v>45502</v>
      </c>
      <c r="D237" s="33" t="s">
        <v>105</v>
      </c>
      <c r="E237" s="25" t="s">
        <v>54</v>
      </c>
      <c r="F237" s="25" t="s">
        <v>57</v>
      </c>
      <c r="G237" s="25">
        <v>10</v>
      </c>
      <c r="H237" s="28">
        <v>0.36180555555555555</v>
      </c>
      <c r="I237" s="25" t="s">
        <v>56</v>
      </c>
      <c r="J237" s="3" t="s">
        <v>55</v>
      </c>
      <c r="K237" s="25" t="s">
        <v>38</v>
      </c>
      <c r="L237" s="25">
        <v>9.91</v>
      </c>
      <c r="M237" s="38">
        <v>12.5</v>
      </c>
      <c r="N237" s="4">
        <v>27.8</v>
      </c>
      <c r="O237" s="43">
        <v>0.4</v>
      </c>
      <c r="P237" s="4">
        <v>284</v>
      </c>
      <c r="Q237" s="39">
        <v>7.86</v>
      </c>
      <c r="R237" s="4">
        <v>1.282</v>
      </c>
      <c r="S237" s="4">
        <v>8.2040000000000006</v>
      </c>
      <c r="T237" s="4">
        <v>30.78</v>
      </c>
      <c r="U237" s="4">
        <v>8.3740000000000006</v>
      </c>
      <c r="V237" s="36">
        <v>14.228899999999999</v>
      </c>
      <c r="W237" s="36">
        <v>17.777899999999999</v>
      </c>
      <c r="X237" s="4">
        <v>2.665</v>
      </c>
      <c r="Y237" s="39">
        <v>0.46479655037682077</v>
      </c>
      <c r="Z237" s="4">
        <v>4.04</v>
      </c>
      <c r="AA237" s="4">
        <v>298</v>
      </c>
      <c r="AB237" s="4">
        <v>2310</v>
      </c>
    </row>
    <row r="238" spans="1:29" x14ac:dyDescent="0.25">
      <c r="A238" s="45">
        <v>24284</v>
      </c>
      <c r="B238" s="25" t="s">
        <v>96</v>
      </c>
      <c r="C238" s="26">
        <v>45502</v>
      </c>
      <c r="D238" s="33" t="s">
        <v>105</v>
      </c>
      <c r="E238" s="25" t="s">
        <v>54</v>
      </c>
      <c r="F238" s="25" t="s">
        <v>57</v>
      </c>
      <c r="G238" s="25">
        <v>10</v>
      </c>
      <c r="H238" s="28">
        <v>0.36180555555555555</v>
      </c>
      <c r="I238" s="25" t="s">
        <v>56</v>
      </c>
      <c r="J238" s="3" t="s">
        <v>55</v>
      </c>
      <c r="K238" s="25" t="s">
        <v>99</v>
      </c>
      <c r="L238" s="25" t="s">
        <v>0</v>
      </c>
      <c r="M238" s="38">
        <v>7.8</v>
      </c>
      <c r="N238" s="43">
        <v>0.88</v>
      </c>
      <c r="O238" s="39">
        <v>0.94899999999999995</v>
      </c>
      <c r="P238" s="43">
        <v>8.5</v>
      </c>
      <c r="Q238" s="43">
        <v>1.5</v>
      </c>
      <c r="R238" s="43">
        <v>0.03</v>
      </c>
      <c r="S238" s="39">
        <v>0.13600000000000001</v>
      </c>
      <c r="T238" s="43">
        <v>0.18</v>
      </c>
      <c r="U238" s="39">
        <v>3.5999999999999997E-2</v>
      </c>
      <c r="V238" s="46">
        <v>0.08</v>
      </c>
      <c r="W238" s="46">
        <v>0.08</v>
      </c>
      <c r="X238" s="39">
        <v>0.70709999999999995</v>
      </c>
      <c r="Y238" s="43">
        <v>0.05</v>
      </c>
      <c r="Z238" s="43">
        <v>0.05</v>
      </c>
      <c r="AA238" s="4">
        <v>84.4</v>
      </c>
      <c r="AB238" s="39">
        <v>42.9</v>
      </c>
    </row>
    <row r="239" spans="1:29" x14ac:dyDescent="0.25">
      <c r="A239" s="3">
        <v>24003</v>
      </c>
      <c r="B239" s="25" t="s">
        <v>92</v>
      </c>
      <c r="C239" s="26">
        <v>45431</v>
      </c>
      <c r="D239" s="25" t="s">
        <v>53</v>
      </c>
      <c r="E239" s="25" t="s">
        <v>54</v>
      </c>
      <c r="F239" s="25" t="s">
        <v>57</v>
      </c>
      <c r="G239" s="25" t="s">
        <v>69</v>
      </c>
      <c r="H239" s="28">
        <v>0.90625</v>
      </c>
      <c r="I239" s="25" t="s">
        <v>69</v>
      </c>
      <c r="J239" s="52" t="s">
        <v>69</v>
      </c>
      <c r="K239" s="52" t="s">
        <v>69</v>
      </c>
      <c r="L239" s="25" t="s">
        <v>69</v>
      </c>
      <c r="M239" s="3">
        <v>18.3</v>
      </c>
      <c r="N239" s="4">
        <v>28.4</v>
      </c>
      <c r="O239" s="39">
        <v>1.6</v>
      </c>
      <c r="P239" s="4">
        <v>132.76717146715256</v>
      </c>
      <c r="Q239" s="39">
        <v>14.6</v>
      </c>
      <c r="R239" s="43">
        <v>0.03</v>
      </c>
      <c r="S239" s="43">
        <v>0.03</v>
      </c>
      <c r="T239" s="43">
        <v>0.18</v>
      </c>
      <c r="U239" s="43">
        <v>0.02</v>
      </c>
      <c r="V239" s="47">
        <v>0.316</v>
      </c>
      <c r="W239" s="47">
        <v>0.22489999999999999</v>
      </c>
      <c r="X239" s="4">
        <v>0.9854432722561538</v>
      </c>
      <c r="Y239" s="43">
        <v>0.05</v>
      </c>
      <c r="Z239" s="43">
        <v>0.05</v>
      </c>
      <c r="AA239" s="4">
        <v>118</v>
      </c>
      <c r="AB239" s="4">
        <v>148</v>
      </c>
    </row>
    <row r="240" spans="1:29" x14ac:dyDescent="0.25">
      <c r="A240" s="3">
        <v>24051</v>
      </c>
      <c r="B240" s="33" t="s">
        <v>92</v>
      </c>
      <c r="C240" s="26">
        <v>45433</v>
      </c>
      <c r="D240" s="25" t="s">
        <v>53</v>
      </c>
      <c r="E240" s="25" t="s">
        <v>54</v>
      </c>
      <c r="F240" s="25" t="s">
        <v>57</v>
      </c>
      <c r="G240" s="27">
        <v>22.3</v>
      </c>
      <c r="H240" s="28">
        <v>0.34722222222222227</v>
      </c>
      <c r="I240" s="52" t="s">
        <v>69</v>
      </c>
      <c r="J240" s="52" t="s">
        <v>69</v>
      </c>
      <c r="K240" s="25" t="s">
        <v>69</v>
      </c>
      <c r="L240" s="52" t="s">
        <v>69</v>
      </c>
      <c r="M240" s="38">
        <v>3.77</v>
      </c>
      <c r="N240" s="43">
        <v>0.88</v>
      </c>
      <c r="O240" s="43">
        <v>0.4</v>
      </c>
      <c r="P240" s="39">
        <v>28.4</v>
      </c>
      <c r="Q240" s="43">
        <v>1.5</v>
      </c>
      <c r="R240" s="43">
        <v>0.03</v>
      </c>
      <c r="S240" s="43">
        <v>0.03</v>
      </c>
      <c r="T240" s="43">
        <v>0.18</v>
      </c>
      <c r="U240" s="43">
        <v>0.02</v>
      </c>
      <c r="V240" s="47">
        <v>0.20050000000000001</v>
      </c>
      <c r="W240" s="47">
        <v>0.2223</v>
      </c>
      <c r="X240" s="39">
        <v>0.59084767721636122</v>
      </c>
      <c r="Y240" s="39">
        <v>0.2168894107296139</v>
      </c>
      <c r="Z240" s="43">
        <v>0.05</v>
      </c>
      <c r="AA240" s="42">
        <v>18.3</v>
      </c>
      <c r="AB240" s="44">
        <v>29</v>
      </c>
    </row>
    <row r="241" spans="1:28" x14ac:dyDescent="0.25">
      <c r="A241" s="3">
        <v>24071</v>
      </c>
      <c r="B241" s="33" t="s">
        <v>92</v>
      </c>
      <c r="C241" s="26">
        <v>45434</v>
      </c>
      <c r="D241" s="25" t="s">
        <v>53</v>
      </c>
      <c r="E241" s="25" t="s">
        <v>54</v>
      </c>
      <c r="F241" s="25" t="s">
        <v>57</v>
      </c>
      <c r="G241" s="27">
        <v>33</v>
      </c>
      <c r="H241" s="28">
        <v>0.47986111111111113</v>
      </c>
      <c r="I241" s="52" t="s">
        <v>69</v>
      </c>
      <c r="J241" s="52" t="s">
        <v>69</v>
      </c>
      <c r="K241" s="25" t="s">
        <v>69</v>
      </c>
      <c r="L241" s="52" t="s">
        <v>69</v>
      </c>
      <c r="M241" s="43">
        <v>1.63</v>
      </c>
      <c r="N241" s="43">
        <v>0.88</v>
      </c>
      <c r="O241" s="39">
        <v>0.99299999999999999</v>
      </c>
      <c r="P241" s="43">
        <v>8.5</v>
      </c>
      <c r="Q241" s="43">
        <v>1.5</v>
      </c>
      <c r="R241" s="43">
        <v>0.03</v>
      </c>
      <c r="S241" s="43">
        <v>0.03</v>
      </c>
      <c r="T241" s="43">
        <v>0.18</v>
      </c>
      <c r="U241" s="43">
        <v>0.02</v>
      </c>
      <c r="V241" s="47">
        <v>0.22570000000000001</v>
      </c>
      <c r="W241" s="47">
        <v>0.2261</v>
      </c>
      <c r="X241" s="39">
        <v>0.52023875624652971</v>
      </c>
      <c r="Y241" s="43">
        <v>0.05</v>
      </c>
      <c r="Z241" s="43">
        <v>0.05</v>
      </c>
      <c r="AA241" s="39">
        <v>12.1</v>
      </c>
      <c r="AB241" s="39">
        <v>103</v>
      </c>
    </row>
    <row r="242" spans="1:28" x14ac:dyDescent="0.25">
      <c r="A242" s="3">
        <v>24031</v>
      </c>
      <c r="B242" s="33" t="s">
        <v>92</v>
      </c>
      <c r="C242" s="26">
        <v>45435</v>
      </c>
      <c r="D242" s="25" t="s">
        <v>53</v>
      </c>
      <c r="E242" s="25" t="s">
        <v>54</v>
      </c>
      <c r="F242" s="25" t="s">
        <v>57</v>
      </c>
      <c r="G242" s="27">
        <v>22</v>
      </c>
      <c r="H242" s="28">
        <v>0.27083333333333331</v>
      </c>
      <c r="I242" s="52" t="s">
        <v>69</v>
      </c>
      <c r="J242" s="52" t="s">
        <v>69</v>
      </c>
      <c r="K242" s="25" t="s">
        <v>69</v>
      </c>
      <c r="L242" s="52" t="s">
        <v>69</v>
      </c>
      <c r="M242" s="43">
        <v>1.63</v>
      </c>
      <c r="N242" s="43">
        <v>0.88</v>
      </c>
      <c r="O242" s="43">
        <v>0.4</v>
      </c>
      <c r="P242" s="43">
        <v>8.5</v>
      </c>
      <c r="Q242" s="4">
        <v>30.2</v>
      </c>
      <c r="R242" s="43">
        <v>0.03</v>
      </c>
      <c r="S242" s="43">
        <v>0.03</v>
      </c>
      <c r="T242" s="43">
        <v>0.18</v>
      </c>
      <c r="U242" s="43">
        <v>0.02</v>
      </c>
      <c r="V242" s="47">
        <v>0.33639999999999998</v>
      </c>
      <c r="W242" s="47">
        <v>0.3649</v>
      </c>
      <c r="X242" s="39">
        <v>0.57557838238015913</v>
      </c>
      <c r="Y242" s="39">
        <v>0.17446132921208804</v>
      </c>
      <c r="Z242" s="43">
        <v>0.05</v>
      </c>
      <c r="AA242" s="39">
        <v>11.2</v>
      </c>
      <c r="AB242" s="39">
        <v>87.4</v>
      </c>
    </row>
    <row r="243" spans="1:28" x14ac:dyDescent="0.25">
      <c r="A243" s="3">
        <v>24085</v>
      </c>
      <c r="B243" s="25" t="s">
        <v>94</v>
      </c>
      <c r="C243" s="26">
        <v>45433</v>
      </c>
      <c r="D243" s="25" t="s">
        <v>53</v>
      </c>
      <c r="E243" s="25" t="s">
        <v>54</v>
      </c>
      <c r="F243" s="25" t="s">
        <v>57</v>
      </c>
      <c r="G243" s="27">
        <v>13.1</v>
      </c>
      <c r="H243" s="28">
        <v>0.1875</v>
      </c>
      <c r="I243" s="25" t="s">
        <v>68</v>
      </c>
      <c r="J243" s="3" t="s">
        <v>55</v>
      </c>
      <c r="K243" s="25" t="s">
        <v>75</v>
      </c>
      <c r="L243" s="27">
        <v>6.7</v>
      </c>
      <c r="M243" s="38">
        <v>7.61</v>
      </c>
      <c r="N243" s="4">
        <v>61.9</v>
      </c>
      <c r="O243" s="39">
        <v>0.92</v>
      </c>
      <c r="P243" s="4">
        <v>237</v>
      </c>
      <c r="Q243" s="4">
        <v>22.8</v>
      </c>
      <c r="R243" s="4">
        <v>1.2649999999999999</v>
      </c>
      <c r="S243" s="4">
        <v>7.9960000000000004</v>
      </c>
      <c r="T243" s="4">
        <v>28.58</v>
      </c>
      <c r="U243" s="4">
        <v>8.3659999999999997</v>
      </c>
      <c r="V243" s="36">
        <v>14.377000000000001</v>
      </c>
      <c r="W243" s="36">
        <v>18.7346</v>
      </c>
      <c r="X243" s="4">
        <v>2.4989255258669694</v>
      </c>
      <c r="Y243" s="4">
        <v>0.49691474874528468</v>
      </c>
      <c r="Z243" s="4">
        <v>1.8</v>
      </c>
      <c r="AA243" s="4">
        <v>138</v>
      </c>
      <c r="AB243" s="4">
        <v>780</v>
      </c>
    </row>
    <row r="244" spans="1:28" x14ac:dyDescent="0.25">
      <c r="A244" s="3">
        <v>24086</v>
      </c>
      <c r="B244" s="25" t="s">
        <v>94</v>
      </c>
      <c r="C244" s="26">
        <v>45433</v>
      </c>
      <c r="D244" s="25" t="s">
        <v>53</v>
      </c>
      <c r="E244" s="25" t="s">
        <v>54</v>
      </c>
      <c r="F244" s="25" t="s">
        <v>57</v>
      </c>
      <c r="G244" s="27">
        <v>13.1</v>
      </c>
      <c r="H244" s="28">
        <v>0.1875</v>
      </c>
      <c r="I244" s="25" t="s">
        <v>68</v>
      </c>
      <c r="J244" s="3" t="s">
        <v>55</v>
      </c>
      <c r="K244" s="25" t="s">
        <v>38</v>
      </c>
      <c r="L244" s="27">
        <v>12.2</v>
      </c>
      <c r="M244" s="38">
        <v>14</v>
      </c>
      <c r="N244" s="4">
        <v>64.400000000000006</v>
      </c>
      <c r="O244" s="39">
        <v>0.95899999999999996</v>
      </c>
      <c r="P244" s="4">
        <v>253.28947538935645</v>
      </c>
      <c r="Q244" s="39">
        <v>6.44</v>
      </c>
      <c r="R244" s="4">
        <v>1.246</v>
      </c>
      <c r="S244" s="4">
        <v>8.0180000000000007</v>
      </c>
      <c r="T244" s="4">
        <v>28.24</v>
      </c>
      <c r="U244" s="4">
        <v>8.3879999999999999</v>
      </c>
      <c r="V244" s="36">
        <v>14.500299999999999</v>
      </c>
      <c r="W244" s="36">
        <v>18.815300000000001</v>
      </c>
      <c r="X244" s="4">
        <v>2.5583342808413869</v>
      </c>
      <c r="Y244" s="39">
        <v>0.38490461353901634</v>
      </c>
      <c r="Z244" s="4">
        <v>1.74</v>
      </c>
      <c r="AA244" s="4">
        <v>145</v>
      </c>
      <c r="AB244" s="4">
        <v>819</v>
      </c>
    </row>
    <row r="245" spans="1:28" x14ac:dyDescent="0.25">
      <c r="A245" s="3">
        <v>24221</v>
      </c>
      <c r="B245" s="25" t="s">
        <v>94</v>
      </c>
      <c r="C245" s="26">
        <v>45498</v>
      </c>
      <c r="D245" s="33" t="s">
        <v>105</v>
      </c>
      <c r="E245" s="25" t="s">
        <v>54</v>
      </c>
      <c r="F245" s="25" t="s">
        <v>57</v>
      </c>
      <c r="G245" s="25">
        <v>12</v>
      </c>
      <c r="H245" s="28">
        <v>0.4770833333333333</v>
      </c>
      <c r="I245" s="25" t="s">
        <v>56</v>
      </c>
      <c r="J245" s="3" t="s">
        <v>55</v>
      </c>
      <c r="K245" s="25" t="s">
        <v>58</v>
      </c>
      <c r="L245" s="25">
        <v>2.0499999999999998</v>
      </c>
      <c r="M245" s="38">
        <v>15.7</v>
      </c>
      <c r="N245" s="4">
        <v>214</v>
      </c>
      <c r="O245" s="39">
        <v>1.39</v>
      </c>
      <c r="P245" s="4">
        <v>447</v>
      </c>
      <c r="Q245" s="4">
        <v>23</v>
      </c>
      <c r="R245" s="4">
        <v>1.173</v>
      </c>
      <c r="S245" s="4">
        <v>7.1340000000000003</v>
      </c>
      <c r="T245" s="4">
        <v>28.06</v>
      </c>
      <c r="U245" s="4">
        <v>8.2080000000000002</v>
      </c>
      <c r="V245" s="36">
        <v>12.7174</v>
      </c>
      <c r="W245" s="36">
        <v>16.709099999999999</v>
      </c>
      <c r="X245" s="4">
        <v>2.5249999999999999</v>
      </c>
      <c r="Y245" s="4">
        <v>1.0446404131527367</v>
      </c>
      <c r="Z245" s="4">
        <v>5.92</v>
      </c>
      <c r="AA245" s="6">
        <v>401</v>
      </c>
      <c r="AB245" s="6">
        <v>3900</v>
      </c>
    </row>
    <row r="246" spans="1:28" x14ac:dyDescent="0.25">
      <c r="A246" s="45">
        <v>24223</v>
      </c>
      <c r="B246" s="25" t="s">
        <v>94</v>
      </c>
      <c r="C246" s="26">
        <v>45498</v>
      </c>
      <c r="D246" s="33" t="s">
        <v>105</v>
      </c>
      <c r="E246" s="25" t="s">
        <v>54</v>
      </c>
      <c r="F246" s="25" t="s">
        <v>57</v>
      </c>
      <c r="G246" s="25">
        <v>12</v>
      </c>
      <c r="H246" s="28">
        <v>0.4770833333333333</v>
      </c>
      <c r="I246" s="25" t="s">
        <v>56</v>
      </c>
      <c r="J246" s="3" t="s">
        <v>55</v>
      </c>
      <c r="K246" s="25" t="s">
        <v>38</v>
      </c>
      <c r="L246" s="25">
        <v>10.11</v>
      </c>
      <c r="M246" s="3">
        <v>37.299999999999997</v>
      </c>
      <c r="N246" s="4">
        <v>195</v>
      </c>
      <c r="O246" s="43">
        <v>0.4</v>
      </c>
      <c r="P246" s="4">
        <v>468</v>
      </c>
      <c r="Q246" s="39">
        <v>12.6</v>
      </c>
      <c r="R246" s="4">
        <v>1.2470000000000001</v>
      </c>
      <c r="S246" s="4">
        <v>7.5060000000000002</v>
      </c>
      <c r="T246" s="4">
        <v>27.66</v>
      </c>
      <c r="U246" s="4">
        <v>8.34</v>
      </c>
      <c r="V246" s="36">
        <v>13.3536</v>
      </c>
      <c r="W246" s="36">
        <v>17.272099999999998</v>
      </c>
      <c r="X246" s="4">
        <v>2.56</v>
      </c>
      <c r="Y246" s="4">
        <v>1.1251482936762438</v>
      </c>
      <c r="Z246" s="4">
        <v>5.88</v>
      </c>
      <c r="AA246" s="6">
        <v>319</v>
      </c>
      <c r="AB246" s="6">
        <v>2710</v>
      </c>
    </row>
    <row r="247" spans="1:28" x14ac:dyDescent="0.25">
      <c r="A247" s="3">
        <v>31</v>
      </c>
      <c r="B247" s="25" t="s">
        <v>94</v>
      </c>
      <c r="C247" s="26">
        <v>45549</v>
      </c>
      <c r="D247" s="25" t="s">
        <v>53</v>
      </c>
      <c r="E247" s="25" t="s">
        <v>54</v>
      </c>
      <c r="F247" s="25" t="s">
        <v>57</v>
      </c>
      <c r="G247" s="27">
        <v>12.7</v>
      </c>
      <c r="H247" s="28">
        <v>0.27430555555555552</v>
      </c>
      <c r="I247" s="25" t="s">
        <v>68</v>
      </c>
      <c r="J247" s="3" t="s">
        <v>55</v>
      </c>
      <c r="K247" s="25" t="s">
        <v>58</v>
      </c>
      <c r="L247" s="27">
        <v>6.5</v>
      </c>
      <c r="M247" s="38">
        <v>14.9</v>
      </c>
      <c r="N247" s="4">
        <v>26.2</v>
      </c>
      <c r="O247" s="43">
        <v>0.4</v>
      </c>
      <c r="P247" s="4">
        <v>375</v>
      </c>
      <c r="Q247" s="4">
        <v>19.399999999999999</v>
      </c>
      <c r="R247" s="4">
        <v>1.218</v>
      </c>
      <c r="S247" s="4">
        <v>6.6159999999999997</v>
      </c>
      <c r="T247" s="4">
        <v>27.36</v>
      </c>
      <c r="U247" s="4">
        <v>8.2479999999999993</v>
      </c>
      <c r="V247" s="36">
        <v>13.203900000000001</v>
      </c>
      <c r="W247" s="36">
        <v>17.451699999999999</v>
      </c>
      <c r="X247" s="4">
        <v>2.4049999999999998</v>
      </c>
      <c r="Y247" s="4">
        <v>1.9551607896742342</v>
      </c>
      <c r="Z247" s="4">
        <v>7.92</v>
      </c>
      <c r="AA247" s="4">
        <v>327</v>
      </c>
      <c r="AB247" s="4">
        <v>2710</v>
      </c>
    </row>
    <row r="248" spans="1:28" x14ac:dyDescent="0.25">
      <c r="A248" s="3">
        <v>33</v>
      </c>
      <c r="B248" s="25" t="s">
        <v>94</v>
      </c>
      <c r="C248" s="26">
        <v>45549</v>
      </c>
      <c r="D248" s="25" t="s">
        <v>53</v>
      </c>
      <c r="E248" s="25" t="s">
        <v>54</v>
      </c>
      <c r="F248" s="25" t="s">
        <v>57</v>
      </c>
      <c r="G248" s="27">
        <v>12.7</v>
      </c>
      <c r="H248" s="28">
        <v>0.27430555555555552</v>
      </c>
      <c r="I248" s="25" t="s">
        <v>68</v>
      </c>
      <c r="J248" s="3" t="s">
        <v>55</v>
      </c>
      <c r="K248" s="25" t="s">
        <v>38</v>
      </c>
      <c r="L248" s="27">
        <v>12.2</v>
      </c>
      <c r="M248" s="38">
        <v>10.9</v>
      </c>
      <c r="N248" s="4">
        <v>26.8</v>
      </c>
      <c r="O248" s="43">
        <v>0.4</v>
      </c>
      <c r="P248" s="4">
        <v>361</v>
      </c>
      <c r="Q248" s="4">
        <v>20.6</v>
      </c>
      <c r="R248" s="4">
        <v>1.07</v>
      </c>
      <c r="S248" s="4">
        <v>7.0759999999999996</v>
      </c>
      <c r="T248" s="4">
        <v>26.84</v>
      </c>
      <c r="U248" s="4">
        <v>8.1059999999999999</v>
      </c>
      <c r="V248" s="36">
        <v>12.987</v>
      </c>
      <c r="W248" s="36">
        <v>17.084199999999999</v>
      </c>
      <c r="X248" s="4">
        <v>2.7149999999999999</v>
      </c>
      <c r="Y248" s="4">
        <v>1.9502893325153057</v>
      </c>
      <c r="Z248" s="4">
        <v>7.84</v>
      </c>
      <c r="AA248" s="4">
        <v>379</v>
      </c>
      <c r="AB248" s="4">
        <v>2850</v>
      </c>
    </row>
    <row r="249" spans="1:28" x14ac:dyDescent="0.25">
      <c r="A249" s="3">
        <v>24293</v>
      </c>
      <c r="B249" s="25" t="s">
        <v>103</v>
      </c>
      <c r="C249" s="26">
        <v>45502</v>
      </c>
      <c r="D249" s="33" t="s">
        <v>105</v>
      </c>
      <c r="E249" s="25" t="s">
        <v>54</v>
      </c>
      <c r="F249" s="25" t="s">
        <v>57</v>
      </c>
      <c r="G249" s="25">
        <v>13</v>
      </c>
      <c r="H249" s="28">
        <v>0.60555555555555551</v>
      </c>
      <c r="I249" s="25" t="s">
        <v>56</v>
      </c>
      <c r="J249" s="3" t="s">
        <v>55</v>
      </c>
      <c r="K249" s="25" t="s">
        <v>58</v>
      </c>
      <c r="L249" s="25">
        <v>2.02</v>
      </c>
      <c r="M249" s="38">
        <v>5.27</v>
      </c>
      <c r="N249" s="4">
        <v>12.1</v>
      </c>
      <c r="O249" s="43">
        <v>0.4</v>
      </c>
      <c r="P249" s="4">
        <v>256</v>
      </c>
      <c r="Q249" s="39">
        <v>7.07</v>
      </c>
      <c r="R249" s="4">
        <v>1.2969999999999999</v>
      </c>
      <c r="S249" s="4">
        <v>8.6259999999999994</v>
      </c>
      <c r="T249" s="4">
        <v>30.48</v>
      </c>
      <c r="U249" s="4">
        <v>8.4420000000000002</v>
      </c>
      <c r="V249" s="36">
        <v>15.1258</v>
      </c>
      <c r="W249" s="36">
        <v>18.532</v>
      </c>
      <c r="X249" s="4">
        <v>2.7429999999999999</v>
      </c>
      <c r="Y249" s="39">
        <v>0.34831600817113917</v>
      </c>
      <c r="Z249" s="4">
        <v>4.4000000000000004</v>
      </c>
      <c r="AA249" s="6">
        <v>224</v>
      </c>
      <c r="AB249" s="6">
        <v>2360</v>
      </c>
    </row>
    <row r="250" spans="1:28" x14ac:dyDescent="0.25">
      <c r="A250" s="3">
        <v>24295</v>
      </c>
      <c r="B250" s="25" t="s">
        <v>103</v>
      </c>
      <c r="C250" s="26">
        <v>45502</v>
      </c>
      <c r="D250" s="33" t="s">
        <v>105</v>
      </c>
      <c r="E250" s="25" t="s">
        <v>54</v>
      </c>
      <c r="F250" s="25" t="s">
        <v>57</v>
      </c>
      <c r="G250" s="25">
        <v>13</v>
      </c>
      <c r="H250" s="28">
        <v>0.60555555555555551</v>
      </c>
      <c r="I250" s="25" t="s">
        <v>56</v>
      </c>
      <c r="J250" s="3" t="s">
        <v>55</v>
      </c>
      <c r="K250" s="25" t="s">
        <v>38</v>
      </c>
      <c r="L250" s="25">
        <v>13.02</v>
      </c>
      <c r="M250" s="3">
        <v>16.3</v>
      </c>
      <c r="N250" s="4">
        <v>25.5</v>
      </c>
      <c r="O250" s="39">
        <v>1.0900000000000001</v>
      </c>
      <c r="P250" s="4">
        <v>229</v>
      </c>
      <c r="Q250" s="4">
        <v>19.7</v>
      </c>
      <c r="R250" s="4">
        <v>1.3120000000000001</v>
      </c>
      <c r="S250" s="4">
        <v>8.7279999999999998</v>
      </c>
      <c r="T250" s="4">
        <v>30.18</v>
      </c>
      <c r="U250" s="4">
        <v>8.4280000000000008</v>
      </c>
      <c r="V250" s="36">
        <v>15.0784</v>
      </c>
      <c r="W250" s="36">
        <v>18.579899999999999</v>
      </c>
      <c r="X250" s="4">
        <v>2.6509999999999998</v>
      </c>
      <c r="Y250" s="39">
        <v>0.31375865164344208</v>
      </c>
      <c r="Z250" s="4">
        <v>3.12</v>
      </c>
      <c r="AA250" s="4">
        <v>246</v>
      </c>
      <c r="AB250" s="4">
        <v>1770</v>
      </c>
    </row>
    <row r="251" spans="1:28" x14ac:dyDescent="0.25">
      <c r="A251" s="3">
        <v>24296</v>
      </c>
      <c r="B251" s="25" t="s">
        <v>103</v>
      </c>
      <c r="C251" s="26">
        <v>45502</v>
      </c>
      <c r="D251" s="33" t="s">
        <v>105</v>
      </c>
      <c r="E251" s="25" t="s">
        <v>54</v>
      </c>
      <c r="F251" s="25" t="s">
        <v>57</v>
      </c>
      <c r="G251" s="25">
        <v>13</v>
      </c>
      <c r="H251" s="28">
        <v>0.60555555555555551</v>
      </c>
      <c r="I251" s="25" t="s">
        <v>56</v>
      </c>
      <c r="J251" s="3" t="s">
        <v>55</v>
      </c>
      <c r="K251" s="25" t="s">
        <v>99</v>
      </c>
      <c r="L251" s="25">
        <v>2.02</v>
      </c>
      <c r="M251" s="38">
        <v>9.5</v>
      </c>
      <c r="N251" s="4">
        <v>14.7</v>
      </c>
      <c r="O251" s="43">
        <v>0.4</v>
      </c>
      <c r="P251" s="4">
        <v>983</v>
      </c>
      <c r="Q251" s="4">
        <v>67</v>
      </c>
      <c r="R251" s="4">
        <v>1.3160000000000001</v>
      </c>
      <c r="S251" s="4">
        <v>8.5440000000000005</v>
      </c>
      <c r="T251" s="4">
        <v>29.24</v>
      </c>
      <c r="U251" s="4">
        <v>8.3840000000000003</v>
      </c>
      <c r="V251" s="36">
        <v>15.314399999999999</v>
      </c>
      <c r="W251" s="36">
        <v>18.841100000000001</v>
      </c>
      <c r="X251" s="4">
        <v>2.7370000000000001</v>
      </c>
      <c r="Y251" s="39">
        <v>0.3525879370360569</v>
      </c>
      <c r="Z251" s="4">
        <v>4.3600000000000003</v>
      </c>
      <c r="AA251" s="4">
        <v>310</v>
      </c>
      <c r="AB251" s="4">
        <v>2830</v>
      </c>
    </row>
    <row r="252" spans="1:28" x14ac:dyDescent="0.25">
      <c r="A252" s="3">
        <v>76</v>
      </c>
      <c r="B252" s="25" t="s">
        <v>98</v>
      </c>
      <c r="C252" s="26">
        <v>45550</v>
      </c>
      <c r="D252" s="25" t="s">
        <v>53</v>
      </c>
      <c r="E252" s="25" t="s">
        <v>54</v>
      </c>
      <c r="F252" s="25" t="s">
        <v>57</v>
      </c>
      <c r="G252" s="27">
        <v>15</v>
      </c>
      <c r="H252" s="28">
        <v>0.54861111111111105</v>
      </c>
      <c r="I252" s="25" t="s">
        <v>68</v>
      </c>
      <c r="J252" s="3" t="s">
        <v>55</v>
      </c>
      <c r="K252" s="25" t="s">
        <v>58</v>
      </c>
      <c r="L252" s="27">
        <v>5.0999999999999996</v>
      </c>
      <c r="M252" s="38">
        <v>8.98</v>
      </c>
      <c r="N252" s="4">
        <v>10.9</v>
      </c>
      <c r="O252" s="43">
        <v>0.4</v>
      </c>
      <c r="P252" s="4">
        <v>266</v>
      </c>
      <c r="Q252" s="39">
        <v>9.4499999999999993</v>
      </c>
      <c r="R252" s="4">
        <v>1.343</v>
      </c>
      <c r="S252" s="4">
        <v>8.4380000000000006</v>
      </c>
      <c r="T252" s="4">
        <v>31.34</v>
      </c>
      <c r="U252" s="4">
        <v>8.6679999999999993</v>
      </c>
      <c r="V252" s="36">
        <v>16.070599999999999</v>
      </c>
      <c r="W252" s="36">
        <v>19.47</v>
      </c>
      <c r="X252" s="4">
        <v>2.4990000000000001</v>
      </c>
      <c r="Y252" s="4">
        <v>0.54567912173034039</v>
      </c>
      <c r="Z252" s="4">
        <v>4.08</v>
      </c>
      <c r="AA252" s="6">
        <v>168</v>
      </c>
      <c r="AB252" s="6">
        <v>1220</v>
      </c>
    </row>
    <row r="253" spans="1:28" x14ac:dyDescent="0.25">
      <c r="A253" s="3">
        <v>77</v>
      </c>
      <c r="B253" s="25" t="s">
        <v>98</v>
      </c>
      <c r="C253" s="26">
        <v>45550</v>
      </c>
      <c r="D253" s="25" t="s">
        <v>53</v>
      </c>
      <c r="E253" s="25" t="s">
        <v>54</v>
      </c>
      <c r="F253" s="25" t="s">
        <v>57</v>
      </c>
      <c r="G253" s="27">
        <v>15</v>
      </c>
      <c r="H253" s="28">
        <v>0.54861111111111105</v>
      </c>
      <c r="I253" s="25" t="s">
        <v>68</v>
      </c>
      <c r="J253" s="3" t="s">
        <v>55</v>
      </c>
      <c r="K253" s="25" t="s">
        <v>75</v>
      </c>
      <c r="L253" s="27">
        <v>7.5</v>
      </c>
      <c r="M253" s="38">
        <v>10.7</v>
      </c>
      <c r="N253" s="4">
        <v>24.2</v>
      </c>
      <c r="O253" s="43">
        <v>0.4</v>
      </c>
      <c r="P253" s="4">
        <v>231</v>
      </c>
      <c r="Q253" s="39">
        <v>8.1199999999999992</v>
      </c>
      <c r="R253" s="4">
        <v>1.2490000000000001</v>
      </c>
      <c r="S253" s="4">
        <v>8.9760000000000009</v>
      </c>
      <c r="T253" s="4">
        <v>30.88</v>
      </c>
      <c r="U253" s="4">
        <v>8.4339999999999993</v>
      </c>
      <c r="V253" s="36">
        <v>16.394400000000001</v>
      </c>
      <c r="W253" s="36">
        <v>19.911899999999999</v>
      </c>
      <c r="X253" s="4">
        <v>2.456</v>
      </c>
      <c r="Y253" s="4">
        <v>0.55128121154278598</v>
      </c>
      <c r="Z253" s="4">
        <v>4.4000000000000004</v>
      </c>
      <c r="AA253" s="4">
        <v>123</v>
      </c>
      <c r="AB253" s="4">
        <v>1093.6478253029063</v>
      </c>
    </row>
    <row r="254" spans="1:28" x14ac:dyDescent="0.25">
      <c r="A254" s="3">
        <v>78</v>
      </c>
      <c r="B254" s="25" t="s">
        <v>98</v>
      </c>
      <c r="C254" s="26">
        <v>45550</v>
      </c>
      <c r="D254" s="25" t="s">
        <v>53</v>
      </c>
      <c r="E254" s="25" t="s">
        <v>54</v>
      </c>
      <c r="F254" s="25" t="s">
        <v>57</v>
      </c>
      <c r="G254" s="27">
        <v>15</v>
      </c>
      <c r="H254" s="28">
        <v>0.54861111111111105</v>
      </c>
      <c r="I254" s="25" t="s">
        <v>68</v>
      </c>
      <c r="J254" s="3" t="s">
        <v>55</v>
      </c>
      <c r="K254" s="25" t="s">
        <v>38</v>
      </c>
      <c r="L254" s="27">
        <v>14</v>
      </c>
      <c r="M254" s="3">
        <v>19.7</v>
      </c>
      <c r="N254" s="4">
        <v>29.1</v>
      </c>
      <c r="O254" s="43">
        <v>0.4</v>
      </c>
      <c r="P254" s="4">
        <v>254</v>
      </c>
      <c r="Q254" s="39">
        <v>8.9</v>
      </c>
      <c r="R254" s="4">
        <v>1.3380000000000001</v>
      </c>
      <c r="S254" s="4">
        <v>9.08</v>
      </c>
      <c r="T254" s="4">
        <v>31.14</v>
      </c>
      <c r="U254" s="4">
        <v>8.5139999999999993</v>
      </c>
      <c r="V254" s="36">
        <v>16.709800000000001</v>
      </c>
      <c r="W254" s="36">
        <v>20.248200000000001</v>
      </c>
      <c r="X254" s="4">
        <v>2.5659999999999998</v>
      </c>
      <c r="Y254" s="4">
        <v>0.61659314088797557</v>
      </c>
      <c r="Z254" s="4">
        <v>3.84</v>
      </c>
      <c r="AA254" s="4">
        <v>121</v>
      </c>
      <c r="AB254" s="4">
        <v>1025.6066529738844</v>
      </c>
    </row>
    <row r="255" spans="1:28" x14ac:dyDescent="0.25">
      <c r="A255" s="3">
        <v>24104</v>
      </c>
      <c r="B255" s="25" t="s">
        <v>98</v>
      </c>
      <c r="C255" s="26">
        <v>45435</v>
      </c>
      <c r="D255" s="25" t="s">
        <v>53</v>
      </c>
      <c r="E255" s="25" t="s">
        <v>54</v>
      </c>
      <c r="F255" s="25" t="s">
        <v>57</v>
      </c>
      <c r="G255" s="27">
        <v>14.7</v>
      </c>
      <c r="H255" s="28">
        <v>1.9444444444444445E-2</v>
      </c>
      <c r="I255" s="25" t="s">
        <v>68</v>
      </c>
      <c r="J255" s="3" t="s">
        <v>55</v>
      </c>
      <c r="K255" s="25" t="s">
        <v>58</v>
      </c>
      <c r="L255" s="27">
        <v>5</v>
      </c>
      <c r="M255" s="38">
        <v>13.4</v>
      </c>
      <c r="N255" s="4">
        <v>487</v>
      </c>
      <c r="O255" s="43">
        <v>0.4</v>
      </c>
      <c r="P255" s="4">
        <v>639.62124412628395</v>
      </c>
      <c r="Q255" s="39">
        <v>4.87</v>
      </c>
      <c r="R255" s="4">
        <v>1.464</v>
      </c>
      <c r="S255" s="4">
        <v>10.212</v>
      </c>
      <c r="T255" s="4">
        <v>30.83</v>
      </c>
      <c r="U255" s="4">
        <v>8.4459999999999997</v>
      </c>
      <c r="V255" s="36">
        <v>17.787600000000001</v>
      </c>
      <c r="W255" s="36">
        <v>19.867699999999999</v>
      </c>
      <c r="X255" s="4">
        <v>2.9211824900511654</v>
      </c>
      <c r="Y255" s="39">
        <v>0.41884707875303712</v>
      </c>
      <c r="Z255" s="4">
        <v>0.88</v>
      </c>
      <c r="AA255" s="4">
        <v>252</v>
      </c>
      <c r="AB255" s="4">
        <v>993</v>
      </c>
    </row>
    <row r="256" spans="1:28" x14ac:dyDescent="0.25">
      <c r="A256" s="3">
        <v>24106</v>
      </c>
      <c r="B256" s="25" t="s">
        <v>98</v>
      </c>
      <c r="C256" s="26">
        <v>45435</v>
      </c>
      <c r="D256" s="25" t="s">
        <v>53</v>
      </c>
      <c r="E256" s="25" t="s">
        <v>54</v>
      </c>
      <c r="F256" s="25" t="s">
        <v>57</v>
      </c>
      <c r="G256" s="27">
        <v>14.7</v>
      </c>
      <c r="H256" s="28">
        <v>1.9444444444444445E-2</v>
      </c>
      <c r="I256" s="25" t="s">
        <v>68</v>
      </c>
      <c r="J256" s="3" t="s">
        <v>55</v>
      </c>
      <c r="K256" s="25" t="s">
        <v>38</v>
      </c>
      <c r="L256" s="27">
        <v>13.6</v>
      </c>
      <c r="M256" s="38">
        <v>12</v>
      </c>
      <c r="N256" s="4">
        <v>488</v>
      </c>
      <c r="O256" s="39">
        <v>1.01</v>
      </c>
      <c r="P256" s="4">
        <v>638.79574889394007</v>
      </c>
      <c r="Q256" s="39">
        <v>5.8</v>
      </c>
      <c r="R256" s="4">
        <v>1.4319999999999999</v>
      </c>
      <c r="S256" s="4">
        <v>10.262</v>
      </c>
      <c r="T256" s="4">
        <v>30.87</v>
      </c>
      <c r="U256" s="4">
        <v>8.4320000000000004</v>
      </c>
      <c r="V256" s="36">
        <v>18.146799999999999</v>
      </c>
      <c r="W256" s="36">
        <v>19.984100000000002</v>
      </c>
      <c r="X256" s="4">
        <v>2.6572541216600345</v>
      </c>
      <c r="Y256" s="4">
        <v>0.53425146048070737</v>
      </c>
      <c r="Z256" s="4">
        <v>0.97</v>
      </c>
      <c r="AA256" s="4">
        <v>132</v>
      </c>
      <c r="AB256" s="4">
        <v>952</v>
      </c>
    </row>
    <row r="257" spans="1:29" x14ac:dyDescent="0.25">
      <c r="A257" s="3">
        <v>24007</v>
      </c>
      <c r="B257" s="33" t="s">
        <v>113</v>
      </c>
      <c r="C257" s="33" t="s">
        <v>113</v>
      </c>
      <c r="D257" s="25" t="s">
        <v>53</v>
      </c>
      <c r="E257" s="25" t="s">
        <v>54</v>
      </c>
      <c r="F257" s="25" t="s">
        <v>57</v>
      </c>
      <c r="G257" s="27" t="s">
        <v>113</v>
      </c>
      <c r="H257" s="28" t="s">
        <v>113</v>
      </c>
      <c r="I257" s="25" t="s">
        <v>113</v>
      </c>
      <c r="J257" s="3" t="s">
        <v>113</v>
      </c>
      <c r="K257" s="25" t="s">
        <v>113</v>
      </c>
      <c r="L257" s="27" t="s">
        <v>113</v>
      </c>
      <c r="M257" s="43">
        <v>1.63</v>
      </c>
      <c r="N257" s="43">
        <v>0.88</v>
      </c>
      <c r="O257" s="43">
        <v>0.4</v>
      </c>
      <c r="P257" s="43">
        <v>8.5</v>
      </c>
      <c r="Q257" s="4">
        <v>26.4</v>
      </c>
      <c r="R257" s="43">
        <v>0.03</v>
      </c>
      <c r="S257" s="4">
        <v>0.28599999999999998</v>
      </c>
      <c r="T257" s="43">
        <v>0.18</v>
      </c>
      <c r="U257" s="43">
        <v>0.02</v>
      </c>
      <c r="V257" s="47">
        <v>0.47939999999999999</v>
      </c>
      <c r="W257" s="47">
        <v>0.4703</v>
      </c>
      <c r="X257" s="39">
        <v>0.52227466222468988</v>
      </c>
      <c r="Y257" s="43">
        <v>4.6328523029159907E-2</v>
      </c>
      <c r="Z257" s="43">
        <v>0.05</v>
      </c>
      <c r="AA257" s="4">
        <v>61.2</v>
      </c>
      <c r="AB257" s="43">
        <v>17.5</v>
      </c>
      <c r="AC257" s="34" t="s">
        <v>112</v>
      </c>
    </row>
    <row r="258" spans="1:29" x14ac:dyDescent="0.25">
      <c r="A258" s="3">
        <v>24181</v>
      </c>
      <c r="B258" s="25" t="s">
        <v>101</v>
      </c>
      <c r="C258" s="26">
        <v>45498</v>
      </c>
      <c r="D258" s="33" t="s">
        <v>105</v>
      </c>
      <c r="E258" s="25" t="s">
        <v>54</v>
      </c>
      <c r="F258" s="25" t="s">
        <v>57</v>
      </c>
      <c r="G258" s="25">
        <v>4</v>
      </c>
      <c r="H258" s="28">
        <v>0.45833333333333331</v>
      </c>
      <c r="I258" s="25" t="s">
        <v>56</v>
      </c>
      <c r="J258" s="3" t="s">
        <v>55</v>
      </c>
      <c r="K258" s="25" t="s">
        <v>58</v>
      </c>
      <c r="L258" s="25">
        <v>2.15</v>
      </c>
      <c r="M258" s="38">
        <v>9.98</v>
      </c>
      <c r="N258" s="4">
        <v>744</v>
      </c>
      <c r="O258" s="39">
        <v>1.22</v>
      </c>
      <c r="P258" s="4">
        <v>1320</v>
      </c>
      <c r="Q258" s="4">
        <v>34.700000000000003</v>
      </c>
      <c r="R258" s="4">
        <v>2.238</v>
      </c>
      <c r="S258" s="4">
        <v>13.242000000000001</v>
      </c>
      <c r="T258" s="4">
        <v>32.520000000000003</v>
      </c>
      <c r="U258" s="4">
        <v>11.516</v>
      </c>
      <c r="V258" s="36">
        <v>21.4801</v>
      </c>
      <c r="W258" s="36">
        <v>26.5427</v>
      </c>
      <c r="X258" s="4">
        <v>4.056</v>
      </c>
      <c r="Y258" s="4">
        <v>1.6341665965113901</v>
      </c>
      <c r="Z258" s="4">
        <v>8.4</v>
      </c>
      <c r="AA258" s="24" t="s">
        <v>0</v>
      </c>
      <c r="AB258" s="24" t="s">
        <v>0</v>
      </c>
    </row>
    <row r="259" spans="1:29" x14ac:dyDescent="0.25">
      <c r="A259" s="3">
        <v>24185</v>
      </c>
      <c r="B259" s="25" t="s">
        <v>102</v>
      </c>
      <c r="C259" s="26">
        <v>45498</v>
      </c>
      <c r="D259" s="33" t="s">
        <v>105</v>
      </c>
      <c r="E259" s="25" t="s">
        <v>54</v>
      </c>
      <c r="F259" s="25" t="s">
        <v>57</v>
      </c>
      <c r="G259" s="25">
        <v>4.3</v>
      </c>
      <c r="H259" s="28">
        <v>0.4861111111111111</v>
      </c>
      <c r="I259" s="25" t="s">
        <v>56</v>
      </c>
      <c r="J259" s="3" t="s">
        <v>55</v>
      </c>
      <c r="K259" s="25" t="s">
        <v>58</v>
      </c>
      <c r="L259" s="25">
        <v>2.04</v>
      </c>
      <c r="M259" s="38">
        <v>11.1</v>
      </c>
      <c r="N259" s="4">
        <v>633</v>
      </c>
      <c r="O259" s="43">
        <v>0.4</v>
      </c>
      <c r="P259" s="4">
        <v>1160</v>
      </c>
      <c r="Q259" s="4">
        <v>23.5</v>
      </c>
      <c r="R259" s="4">
        <v>2.0150000000000001</v>
      </c>
      <c r="S259" s="4">
        <v>12.472</v>
      </c>
      <c r="T259" s="4">
        <v>31.72</v>
      </c>
      <c r="U259" s="4">
        <v>11.07</v>
      </c>
      <c r="V259" s="36">
        <v>20.678699999999999</v>
      </c>
      <c r="W259" s="36">
        <v>25.438199999999998</v>
      </c>
      <c r="X259" s="4">
        <v>3.8759999999999999</v>
      </c>
      <c r="Y259" s="4">
        <v>1.7025174583500746</v>
      </c>
      <c r="Z259" s="4">
        <v>7.9</v>
      </c>
      <c r="AA259" s="24" t="s">
        <v>0</v>
      </c>
      <c r="AB259" s="24" t="s">
        <v>0</v>
      </c>
    </row>
    <row r="260" spans="1:29" x14ac:dyDescent="0.25">
      <c r="N260" s="2"/>
    </row>
  </sheetData>
  <sortState xmlns:xlrd2="http://schemas.microsoft.com/office/spreadsheetml/2017/richdata2" ref="A2:AC261">
    <sortCondition ref="B2:B261"/>
  </sortState>
  <dataValidations count="1">
    <dataValidation type="list" allowBlank="1" showInputMessage="1" showErrorMessage="1" sqref="K2:K3 K5:K8 K10 K12 K22 K19:K20 K14:K17 K24:K90 G92 K97 K99 K101 K94:K95 K103:K170 L92 I92" xr:uid="{6853A5CF-88EA-4126-9C3D-DDE9834749E7}">
      <formula1>"EPI,MID,B-,DUP,BLANK"</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8A3DC-CD65-4140-92A2-3AE8BFE8D0D7}">
  <dimension ref="A1:L125"/>
  <sheetViews>
    <sheetView topLeftCell="A30" zoomScale="78" workbookViewId="0">
      <selection activeCell="B30" sqref="B30"/>
    </sheetView>
  </sheetViews>
  <sheetFormatPr defaultRowHeight="12.5" x14ac:dyDescent="0.25"/>
  <cols>
    <col min="1" max="1" width="8.81640625" bestFit="1" customWidth="1"/>
    <col min="4" max="4" width="10.7265625" bestFit="1" customWidth="1"/>
    <col min="5" max="5" width="12.26953125" bestFit="1" customWidth="1"/>
    <col min="7" max="7" width="8.81640625" style="25" bestFit="1" customWidth="1"/>
    <col min="8" max="8" width="17.1796875" customWidth="1"/>
    <col min="9" max="9" width="9.54296875" customWidth="1"/>
    <col min="10" max="10" width="18" customWidth="1"/>
  </cols>
  <sheetData>
    <row r="1" spans="1:11" s="88" customFormat="1" ht="48.5" customHeight="1" thickBot="1" x14ac:dyDescent="0.3">
      <c r="A1" s="21" t="s">
        <v>45</v>
      </c>
      <c r="B1" s="21" t="s">
        <v>44</v>
      </c>
      <c r="C1" s="21" t="s">
        <v>46</v>
      </c>
      <c r="D1" s="85" t="s">
        <v>118</v>
      </c>
      <c r="E1" s="85" t="s">
        <v>119</v>
      </c>
      <c r="F1" s="86" t="s">
        <v>120</v>
      </c>
      <c r="G1" s="21" t="s">
        <v>24</v>
      </c>
      <c r="H1" s="21" t="s">
        <v>121</v>
      </c>
      <c r="I1" s="86" t="s">
        <v>122</v>
      </c>
      <c r="J1" s="86" t="s">
        <v>123</v>
      </c>
      <c r="K1" s="87" t="s">
        <v>111</v>
      </c>
    </row>
    <row r="2" spans="1:11" x14ac:dyDescent="0.25">
      <c r="A2" s="25">
        <v>932</v>
      </c>
      <c r="B2" s="25" t="s">
        <v>54</v>
      </c>
      <c r="C2" s="25" t="s">
        <v>57</v>
      </c>
      <c r="D2">
        <v>42.791800000000002</v>
      </c>
      <c r="E2">
        <v>-79.208879999999994</v>
      </c>
      <c r="F2" s="25" t="s">
        <v>75</v>
      </c>
      <c r="G2" s="27">
        <v>20.9</v>
      </c>
      <c r="H2" s="3">
        <v>24113</v>
      </c>
      <c r="J2" s="3">
        <v>92</v>
      </c>
      <c r="K2" s="25"/>
    </row>
    <row r="3" spans="1:11" ht="16" customHeight="1" x14ac:dyDescent="0.25">
      <c r="A3" s="25">
        <v>932</v>
      </c>
      <c r="B3" s="25" t="s">
        <v>54</v>
      </c>
      <c r="C3" s="25" t="s">
        <v>57</v>
      </c>
      <c r="D3">
        <v>42.791800000000002</v>
      </c>
      <c r="E3">
        <v>-79.208879999999994</v>
      </c>
      <c r="F3" s="25" t="s">
        <v>38</v>
      </c>
      <c r="G3" s="27">
        <v>20.9</v>
      </c>
      <c r="H3" s="3">
        <v>24114</v>
      </c>
      <c r="I3" s="45">
        <v>24319</v>
      </c>
      <c r="J3" s="3">
        <v>93</v>
      </c>
      <c r="K3" s="25"/>
    </row>
    <row r="4" spans="1:11" ht="16" customHeight="1" x14ac:dyDescent="0.4">
      <c r="A4" s="25">
        <v>932</v>
      </c>
      <c r="B4" s="25" t="s">
        <v>54</v>
      </c>
      <c r="C4" s="25" t="s">
        <v>57</v>
      </c>
      <c r="D4">
        <v>42.791800000000002</v>
      </c>
      <c r="E4">
        <v>-79.208879999999994</v>
      </c>
      <c r="F4" s="25" t="s">
        <v>58</v>
      </c>
      <c r="G4" s="55"/>
      <c r="H4" s="54"/>
      <c r="I4" s="45">
        <v>24317</v>
      </c>
      <c r="J4" s="3">
        <v>91</v>
      </c>
    </row>
    <row r="5" spans="1:11" ht="16" x14ac:dyDescent="0.4">
      <c r="A5" s="25">
        <v>932</v>
      </c>
      <c r="B5" s="25" t="s">
        <v>54</v>
      </c>
      <c r="C5" s="25" t="s">
        <v>57</v>
      </c>
      <c r="D5">
        <v>42.791800000000002</v>
      </c>
      <c r="E5">
        <v>-79.208879999999994</v>
      </c>
      <c r="F5" s="25" t="s">
        <v>99</v>
      </c>
      <c r="G5" s="55"/>
      <c r="H5" s="54"/>
      <c r="I5" s="45">
        <v>24320</v>
      </c>
    </row>
    <row r="6" spans="1:11" x14ac:dyDescent="0.25">
      <c r="A6" s="25">
        <v>937</v>
      </c>
      <c r="B6" s="25" t="s">
        <v>54</v>
      </c>
      <c r="C6" s="25" t="s">
        <v>57</v>
      </c>
      <c r="D6">
        <v>42.418950000000002</v>
      </c>
      <c r="E6">
        <v>-80.206069999999997</v>
      </c>
      <c r="F6" s="25" t="s">
        <v>58</v>
      </c>
      <c r="G6" s="27">
        <v>8.5</v>
      </c>
      <c r="H6" s="3">
        <v>24120</v>
      </c>
      <c r="I6" s="45">
        <v>24289</v>
      </c>
      <c r="J6" s="3">
        <v>85</v>
      </c>
      <c r="K6" s="25"/>
    </row>
    <row r="7" spans="1:11" x14ac:dyDescent="0.25">
      <c r="A7" s="25">
        <v>937</v>
      </c>
      <c r="B7" s="25" t="s">
        <v>54</v>
      </c>
      <c r="C7" s="25" t="s">
        <v>57</v>
      </c>
      <c r="D7">
        <v>42.418950000000002</v>
      </c>
      <c r="E7">
        <v>-80.206069999999997</v>
      </c>
      <c r="F7" s="25" t="s">
        <v>38</v>
      </c>
      <c r="G7" s="27">
        <v>8.5</v>
      </c>
      <c r="H7" s="3">
        <v>24122</v>
      </c>
      <c r="I7" s="3">
        <v>24291</v>
      </c>
      <c r="J7" s="3">
        <v>87</v>
      </c>
      <c r="K7" s="25"/>
    </row>
    <row r="8" spans="1:11" x14ac:dyDescent="0.25">
      <c r="A8" s="25">
        <v>937</v>
      </c>
      <c r="B8" s="25" t="s">
        <v>54</v>
      </c>
      <c r="C8" s="25" t="s">
        <v>57</v>
      </c>
      <c r="D8">
        <v>42.418950000000002</v>
      </c>
      <c r="E8">
        <v>-80.206069999999997</v>
      </c>
      <c r="F8" s="25" t="s">
        <v>76</v>
      </c>
      <c r="G8" s="27">
        <v>8.5</v>
      </c>
      <c r="H8" s="3">
        <v>24123</v>
      </c>
      <c r="K8" s="25"/>
    </row>
    <row r="9" spans="1:11" x14ac:dyDescent="0.25">
      <c r="A9" s="25">
        <v>937</v>
      </c>
      <c r="B9" s="25" t="s">
        <v>54</v>
      </c>
      <c r="C9" s="25" t="s">
        <v>57</v>
      </c>
      <c r="D9">
        <v>42.418950000000002</v>
      </c>
      <c r="E9">
        <v>-80.206069999999997</v>
      </c>
      <c r="F9" s="25" t="s">
        <v>75</v>
      </c>
      <c r="G9" s="27"/>
      <c r="H9" s="3"/>
      <c r="I9" s="45">
        <v>24290</v>
      </c>
      <c r="K9" s="25"/>
    </row>
    <row r="10" spans="1:11" x14ac:dyDescent="0.25">
      <c r="A10" s="25">
        <v>951</v>
      </c>
      <c r="B10" s="25" t="s">
        <v>54</v>
      </c>
      <c r="C10" s="25" t="s">
        <v>57</v>
      </c>
      <c r="D10">
        <v>42.475819999999999</v>
      </c>
      <c r="E10">
        <v>-81.440979999999996</v>
      </c>
      <c r="F10" s="25" t="s">
        <v>58</v>
      </c>
      <c r="G10" s="27">
        <v>19.899999999999999</v>
      </c>
      <c r="H10" s="3">
        <v>24096</v>
      </c>
      <c r="I10" s="3">
        <v>24261</v>
      </c>
      <c r="J10" s="3">
        <v>55</v>
      </c>
      <c r="K10" s="25"/>
    </row>
    <row r="11" spans="1:11" x14ac:dyDescent="0.25">
      <c r="A11" s="25">
        <v>951</v>
      </c>
      <c r="B11" s="25" t="s">
        <v>54</v>
      </c>
      <c r="C11" s="25" t="s">
        <v>57</v>
      </c>
      <c r="D11">
        <v>42.475819999999999</v>
      </c>
      <c r="E11">
        <v>-81.440979999999996</v>
      </c>
      <c r="F11" s="25" t="s">
        <v>75</v>
      </c>
      <c r="G11" s="27">
        <v>19.899999999999999</v>
      </c>
      <c r="H11" s="3">
        <v>24097</v>
      </c>
      <c r="I11" s="45">
        <v>24262</v>
      </c>
      <c r="J11" s="3">
        <v>56</v>
      </c>
      <c r="K11" s="25"/>
    </row>
    <row r="12" spans="1:11" x14ac:dyDescent="0.25">
      <c r="A12" s="25">
        <v>951</v>
      </c>
      <c r="B12" s="25" t="s">
        <v>54</v>
      </c>
      <c r="C12" s="25" t="s">
        <v>57</v>
      </c>
      <c r="D12">
        <v>42.475819999999999</v>
      </c>
      <c r="E12">
        <v>-81.440979999999996</v>
      </c>
      <c r="F12" s="25" t="s">
        <v>38</v>
      </c>
      <c r="G12" s="27">
        <v>19.899999999999999</v>
      </c>
      <c r="H12" s="3">
        <v>24098</v>
      </c>
      <c r="I12" s="3">
        <v>24263</v>
      </c>
      <c r="J12" s="3">
        <v>57</v>
      </c>
      <c r="K12" s="25"/>
    </row>
    <row r="13" spans="1:11" x14ac:dyDescent="0.25">
      <c r="A13" s="25">
        <v>958</v>
      </c>
      <c r="B13" s="25" t="s">
        <v>54</v>
      </c>
      <c r="C13" s="25" t="s">
        <v>57</v>
      </c>
      <c r="D13">
        <v>41.525300000000001</v>
      </c>
      <c r="E13">
        <v>-81.707880000000003</v>
      </c>
      <c r="F13" s="25" t="s">
        <v>58</v>
      </c>
      <c r="G13" s="27">
        <v>11.6</v>
      </c>
      <c r="H13" s="3">
        <v>24101</v>
      </c>
      <c r="I13" s="3">
        <v>24245</v>
      </c>
      <c r="J13" s="3">
        <v>1</v>
      </c>
      <c r="K13" s="25"/>
    </row>
    <row r="14" spans="1:11" x14ac:dyDescent="0.25">
      <c r="A14" s="25">
        <v>958</v>
      </c>
      <c r="B14" s="25" t="s">
        <v>54</v>
      </c>
      <c r="C14" s="25" t="s">
        <v>57</v>
      </c>
      <c r="D14">
        <v>41.525300000000001</v>
      </c>
      <c r="E14">
        <v>-81.707880000000003</v>
      </c>
      <c r="F14" s="25" t="s">
        <v>38</v>
      </c>
      <c r="G14" s="27">
        <v>11.6</v>
      </c>
      <c r="H14" s="3">
        <v>24102</v>
      </c>
      <c r="J14" s="3">
        <v>3</v>
      </c>
      <c r="K14" s="25"/>
    </row>
    <row r="15" spans="1:11" x14ac:dyDescent="0.25">
      <c r="A15" s="25">
        <v>959</v>
      </c>
      <c r="B15" s="25" t="s">
        <v>54</v>
      </c>
      <c r="C15" s="25" t="s">
        <v>57</v>
      </c>
      <c r="D15">
        <v>42.190489999999997</v>
      </c>
      <c r="E15">
        <v>-82.186229999999995</v>
      </c>
      <c r="F15" s="25" t="s">
        <v>75</v>
      </c>
      <c r="G15" s="27">
        <v>12.3</v>
      </c>
      <c r="H15" s="3">
        <v>24089</v>
      </c>
      <c r="K15" s="25"/>
    </row>
    <row r="16" spans="1:11" x14ac:dyDescent="0.25">
      <c r="A16" s="25">
        <v>959</v>
      </c>
      <c r="B16" s="25" t="s">
        <v>54</v>
      </c>
      <c r="C16" s="25" t="s">
        <v>57</v>
      </c>
      <c r="D16">
        <v>42.190489999999997</v>
      </c>
      <c r="E16">
        <v>-82.186229999999995</v>
      </c>
      <c r="F16" s="25" t="s">
        <v>38</v>
      </c>
      <c r="G16" s="27">
        <v>12.3</v>
      </c>
      <c r="H16" s="3">
        <v>24090</v>
      </c>
      <c r="I16" s="3">
        <v>24227</v>
      </c>
      <c r="J16" s="9">
        <v>39</v>
      </c>
      <c r="K16" s="25"/>
    </row>
    <row r="17" spans="1:11" x14ac:dyDescent="0.25">
      <c r="A17" s="25">
        <v>959</v>
      </c>
      <c r="B17" s="25" t="s">
        <v>54</v>
      </c>
      <c r="C17" s="25" t="s">
        <v>57</v>
      </c>
      <c r="D17">
        <v>42.190489999999997</v>
      </c>
      <c r="E17">
        <v>-82.186229999999995</v>
      </c>
      <c r="F17" s="25" t="s">
        <v>76</v>
      </c>
      <c r="G17" s="27">
        <v>12.3</v>
      </c>
      <c r="H17" s="3">
        <v>24091</v>
      </c>
      <c r="I17" s="3">
        <v>24228</v>
      </c>
      <c r="K17" s="25"/>
    </row>
    <row r="18" spans="1:11" x14ac:dyDescent="0.25">
      <c r="A18" s="25">
        <v>959</v>
      </c>
      <c r="B18" s="25" t="s">
        <v>54</v>
      </c>
      <c r="C18" s="25" t="s">
        <v>57</v>
      </c>
      <c r="D18">
        <v>42.190489999999997</v>
      </c>
      <c r="E18">
        <v>-82.186229999999995</v>
      </c>
      <c r="F18" s="25" t="s">
        <v>58</v>
      </c>
      <c r="G18" s="27"/>
      <c r="H18" s="3"/>
      <c r="I18" s="3">
        <v>24225</v>
      </c>
      <c r="J18" s="9">
        <v>37</v>
      </c>
      <c r="K18" s="25"/>
    </row>
    <row r="19" spans="1:11" x14ac:dyDescent="0.25">
      <c r="A19" s="25">
        <v>964</v>
      </c>
      <c r="B19" s="25" t="s">
        <v>54</v>
      </c>
      <c r="C19" s="25" t="s">
        <v>57</v>
      </c>
      <c r="D19">
        <v>41.484180000000002</v>
      </c>
      <c r="E19">
        <v>-82.182270000000003</v>
      </c>
      <c r="F19" s="25" t="s">
        <v>75</v>
      </c>
      <c r="G19" s="27">
        <v>9.6999999999999993</v>
      </c>
      <c r="H19" s="3">
        <v>24093</v>
      </c>
      <c r="K19" s="25"/>
    </row>
    <row r="20" spans="1:11" x14ac:dyDescent="0.25">
      <c r="A20" s="25">
        <v>964</v>
      </c>
      <c r="B20" s="25" t="s">
        <v>54</v>
      </c>
      <c r="C20" s="25" t="s">
        <v>57</v>
      </c>
      <c r="D20">
        <v>41.484180000000002</v>
      </c>
      <c r="E20">
        <v>-82.182270000000003</v>
      </c>
      <c r="F20" s="25" t="s">
        <v>38</v>
      </c>
      <c r="G20" s="27">
        <v>9.6999999999999993</v>
      </c>
      <c r="H20" s="3">
        <v>24094</v>
      </c>
      <c r="I20" s="3">
        <v>24231</v>
      </c>
      <c r="J20" s="3">
        <v>9</v>
      </c>
      <c r="K20" s="25"/>
    </row>
    <row r="21" spans="1:11" x14ac:dyDescent="0.25">
      <c r="A21" s="25">
        <v>964</v>
      </c>
      <c r="B21" s="25" t="s">
        <v>54</v>
      </c>
      <c r="C21" s="25" t="s">
        <v>57</v>
      </c>
      <c r="D21">
        <v>41.484180000000002</v>
      </c>
      <c r="E21">
        <v>-82.182270000000003</v>
      </c>
      <c r="F21" s="25" t="s">
        <v>76</v>
      </c>
      <c r="G21" s="27">
        <v>9.6999999999999993</v>
      </c>
      <c r="H21" s="3">
        <v>24095</v>
      </c>
      <c r="K21" s="25"/>
    </row>
    <row r="22" spans="1:11" x14ac:dyDescent="0.25">
      <c r="A22" s="25">
        <v>964</v>
      </c>
      <c r="B22" s="25" t="s">
        <v>54</v>
      </c>
      <c r="C22" s="25" t="s">
        <v>57</v>
      </c>
      <c r="D22">
        <v>41.484180000000002</v>
      </c>
      <c r="E22">
        <v>-82.182270000000003</v>
      </c>
      <c r="F22" s="25" t="s">
        <v>69</v>
      </c>
      <c r="G22" s="27"/>
      <c r="H22" s="3"/>
      <c r="J22" s="3">
        <v>115</v>
      </c>
      <c r="K22" s="25"/>
    </row>
    <row r="23" spans="1:11" x14ac:dyDescent="0.25">
      <c r="A23" s="25">
        <v>964</v>
      </c>
      <c r="B23" s="25" t="s">
        <v>54</v>
      </c>
      <c r="C23" s="25" t="s">
        <v>57</v>
      </c>
      <c r="D23">
        <v>41.484180000000002</v>
      </c>
      <c r="E23">
        <v>-82.182270000000003</v>
      </c>
      <c r="F23" s="25" t="s">
        <v>58</v>
      </c>
      <c r="G23" s="27"/>
      <c r="I23" s="45">
        <v>24229</v>
      </c>
      <c r="J23" s="3">
        <v>7</v>
      </c>
      <c r="K23" s="25"/>
    </row>
    <row r="24" spans="1:11" x14ac:dyDescent="0.25">
      <c r="A24" s="25" t="s">
        <v>97</v>
      </c>
      <c r="B24" s="25" t="s">
        <v>54</v>
      </c>
      <c r="C24" s="25" t="s">
        <v>57</v>
      </c>
      <c r="D24">
        <v>42.474220000000003</v>
      </c>
      <c r="E24">
        <v>-79.407510000000002</v>
      </c>
      <c r="F24" s="25" t="s">
        <v>58</v>
      </c>
      <c r="G24" s="27">
        <v>6.5</v>
      </c>
      <c r="H24" s="3">
        <v>24116</v>
      </c>
      <c r="I24" s="45">
        <v>24313</v>
      </c>
      <c r="J24" s="3">
        <v>94</v>
      </c>
      <c r="K24" s="25"/>
    </row>
    <row r="25" spans="1:11" x14ac:dyDescent="0.25">
      <c r="A25" s="25" t="s">
        <v>97</v>
      </c>
      <c r="B25" s="25" t="s">
        <v>54</v>
      </c>
      <c r="C25" s="25" t="s">
        <v>57</v>
      </c>
      <c r="D25">
        <v>42.474220000000003</v>
      </c>
      <c r="E25">
        <v>-79.407510000000002</v>
      </c>
      <c r="F25" s="25" t="s">
        <v>38</v>
      </c>
      <c r="G25" s="27">
        <v>6.5</v>
      </c>
      <c r="H25" s="3">
        <v>24118</v>
      </c>
      <c r="I25" s="45">
        <v>24315</v>
      </c>
      <c r="J25" s="3">
        <v>96</v>
      </c>
      <c r="K25" s="25"/>
    </row>
    <row r="26" spans="1:11" x14ac:dyDescent="0.25">
      <c r="A26" s="25" t="s">
        <v>93</v>
      </c>
      <c r="B26" s="25" t="s">
        <v>54</v>
      </c>
      <c r="C26" s="25" t="s">
        <v>57</v>
      </c>
      <c r="D26">
        <v>41.985610000000001</v>
      </c>
      <c r="E26">
        <v>-82.626300000000001</v>
      </c>
      <c r="F26" s="25" t="s">
        <v>75</v>
      </c>
      <c r="G26" s="27">
        <v>10.4</v>
      </c>
      <c r="H26" s="3">
        <v>24081</v>
      </c>
    </row>
    <row r="27" spans="1:11" x14ac:dyDescent="0.25">
      <c r="A27" s="25" t="s">
        <v>93</v>
      </c>
      <c r="B27" s="25" t="s">
        <v>54</v>
      </c>
      <c r="C27" s="25" t="s">
        <v>57</v>
      </c>
      <c r="D27">
        <v>41.985610000000001</v>
      </c>
      <c r="E27">
        <v>-82.626300000000001</v>
      </c>
      <c r="F27" s="25" t="s">
        <v>38</v>
      </c>
      <c r="G27" s="27">
        <v>10.4</v>
      </c>
      <c r="H27" s="3">
        <v>24082</v>
      </c>
      <c r="I27" s="45">
        <v>24219</v>
      </c>
      <c r="J27" s="3">
        <v>30</v>
      </c>
    </row>
    <row r="28" spans="1:11" x14ac:dyDescent="0.25">
      <c r="A28" s="25" t="s">
        <v>93</v>
      </c>
      <c r="B28" s="25" t="s">
        <v>54</v>
      </c>
      <c r="C28" s="25" t="s">
        <v>57</v>
      </c>
      <c r="D28">
        <v>41.985610000000001</v>
      </c>
      <c r="E28">
        <v>-82.626300000000001</v>
      </c>
      <c r="F28" s="25" t="s">
        <v>58</v>
      </c>
      <c r="G28" s="27"/>
      <c r="I28" s="45">
        <v>24217</v>
      </c>
      <c r="J28" s="3">
        <v>28</v>
      </c>
      <c r="K28" s="25"/>
    </row>
    <row r="29" spans="1:11" x14ac:dyDescent="0.25">
      <c r="A29" s="25" t="s">
        <v>88</v>
      </c>
      <c r="B29" s="25" t="s">
        <v>54</v>
      </c>
      <c r="C29" s="25" t="s">
        <v>57</v>
      </c>
      <c r="D29">
        <v>42.538499999999999</v>
      </c>
      <c r="E29">
        <v>-79.615880000000004</v>
      </c>
      <c r="F29" s="25" t="s">
        <v>58</v>
      </c>
      <c r="G29" s="27">
        <v>48.9</v>
      </c>
      <c r="H29" s="3">
        <v>24064</v>
      </c>
      <c r="I29" s="3">
        <v>24309</v>
      </c>
      <c r="J29" s="3">
        <v>97</v>
      </c>
    </row>
    <row r="30" spans="1:11" x14ac:dyDescent="0.25">
      <c r="A30" s="25" t="s">
        <v>88</v>
      </c>
      <c r="B30" s="25" t="s">
        <v>54</v>
      </c>
      <c r="C30" s="25" t="s">
        <v>57</v>
      </c>
      <c r="D30">
        <v>42.538499999999999</v>
      </c>
      <c r="E30">
        <v>-79.615880000000004</v>
      </c>
      <c r="F30" s="25" t="s">
        <v>75</v>
      </c>
      <c r="G30" s="27">
        <v>48.9</v>
      </c>
      <c r="H30" s="3">
        <v>24065</v>
      </c>
      <c r="I30" s="45">
        <v>24310</v>
      </c>
      <c r="J30" s="3">
        <v>98</v>
      </c>
    </row>
    <row r="31" spans="1:11" x14ac:dyDescent="0.25">
      <c r="A31" s="25" t="s">
        <v>88</v>
      </c>
      <c r="B31" s="25" t="s">
        <v>54</v>
      </c>
      <c r="C31" s="25" t="s">
        <v>57</v>
      </c>
      <c r="D31">
        <v>42.538499999999999</v>
      </c>
      <c r="E31">
        <v>-79.615880000000004</v>
      </c>
      <c r="F31" s="25" t="s">
        <v>38</v>
      </c>
      <c r="G31" s="27">
        <v>48.9</v>
      </c>
      <c r="H31" s="3">
        <v>24066</v>
      </c>
      <c r="I31" s="45">
        <v>24311</v>
      </c>
      <c r="J31" s="3">
        <v>99</v>
      </c>
    </row>
    <row r="32" spans="1:11" x14ac:dyDescent="0.25">
      <c r="A32" s="25" t="s">
        <v>87</v>
      </c>
      <c r="B32" s="25" t="s">
        <v>54</v>
      </c>
      <c r="C32" s="25" t="s">
        <v>57</v>
      </c>
      <c r="D32">
        <v>42.6798</v>
      </c>
      <c r="E32">
        <v>-79.691770000000005</v>
      </c>
      <c r="F32" s="25" t="s">
        <v>58</v>
      </c>
      <c r="G32" s="27">
        <v>33</v>
      </c>
      <c r="H32" s="3">
        <v>24068</v>
      </c>
      <c r="I32" s="3">
        <v>24305</v>
      </c>
      <c r="J32" s="3">
        <v>88</v>
      </c>
    </row>
    <row r="33" spans="1:11" x14ac:dyDescent="0.25">
      <c r="A33" s="25" t="s">
        <v>87</v>
      </c>
      <c r="B33" s="25" t="s">
        <v>54</v>
      </c>
      <c r="C33" s="25" t="s">
        <v>57</v>
      </c>
      <c r="D33">
        <v>42.6798</v>
      </c>
      <c r="E33">
        <v>-79.691770000000005</v>
      </c>
      <c r="F33" s="25" t="s">
        <v>75</v>
      </c>
      <c r="G33" s="27">
        <v>33</v>
      </c>
      <c r="H33" s="3">
        <v>24069</v>
      </c>
      <c r="I33" s="3">
        <v>24306</v>
      </c>
      <c r="J33" s="3">
        <v>89</v>
      </c>
    </row>
    <row r="34" spans="1:11" x14ac:dyDescent="0.25">
      <c r="A34" s="25" t="s">
        <v>87</v>
      </c>
      <c r="B34" s="25" t="s">
        <v>54</v>
      </c>
      <c r="C34" s="25" t="s">
        <v>57</v>
      </c>
      <c r="D34">
        <v>42.6798</v>
      </c>
      <c r="E34">
        <v>-79.691770000000005</v>
      </c>
      <c r="F34" s="25" t="s">
        <v>38</v>
      </c>
      <c r="G34" s="27">
        <v>33</v>
      </c>
      <c r="H34" s="3">
        <v>24070</v>
      </c>
      <c r="I34" s="3">
        <v>24307</v>
      </c>
      <c r="J34" s="3">
        <v>90</v>
      </c>
    </row>
    <row r="35" spans="1:11" x14ac:dyDescent="0.25">
      <c r="A35" s="25" t="s">
        <v>86</v>
      </c>
      <c r="B35" s="25" t="s">
        <v>54</v>
      </c>
      <c r="C35" s="25" t="s">
        <v>57</v>
      </c>
      <c r="D35">
        <v>42.515880000000003</v>
      </c>
      <c r="E35">
        <v>-79.891549999999995</v>
      </c>
      <c r="F35" s="25" t="s">
        <v>58</v>
      </c>
      <c r="G35" s="27">
        <v>62.7</v>
      </c>
      <c r="H35" s="3">
        <v>24072</v>
      </c>
      <c r="I35" s="3">
        <v>24297</v>
      </c>
      <c r="J35" s="3">
        <v>82</v>
      </c>
    </row>
    <row r="36" spans="1:11" x14ac:dyDescent="0.25">
      <c r="A36" s="25" t="s">
        <v>86</v>
      </c>
      <c r="B36" s="25" t="s">
        <v>54</v>
      </c>
      <c r="C36" s="25" t="s">
        <v>57</v>
      </c>
      <c r="D36">
        <v>42.515880000000003</v>
      </c>
      <c r="E36">
        <v>-79.891549999999995</v>
      </c>
      <c r="F36" s="25" t="s">
        <v>75</v>
      </c>
      <c r="G36" s="27">
        <v>62.7</v>
      </c>
      <c r="H36" s="3">
        <v>24073</v>
      </c>
      <c r="I36" s="3">
        <v>24298</v>
      </c>
      <c r="J36" s="3">
        <v>83</v>
      </c>
    </row>
    <row r="37" spans="1:11" x14ac:dyDescent="0.25">
      <c r="A37" s="25" t="s">
        <v>86</v>
      </c>
      <c r="B37" s="25" t="s">
        <v>54</v>
      </c>
      <c r="C37" s="25" t="s">
        <v>57</v>
      </c>
      <c r="D37">
        <v>42.515880000000003</v>
      </c>
      <c r="E37">
        <v>-79.891549999999995</v>
      </c>
      <c r="F37" s="25" t="s">
        <v>38</v>
      </c>
      <c r="G37" s="27">
        <v>62.7</v>
      </c>
      <c r="H37" s="3">
        <v>24074</v>
      </c>
      <c r="I37" s="45">
        <v>24299</v>
      </c>
      <c r="J37" s="3">
        <v>84</v>
      </c>
    </row>
    <row r="38" spans="1:11" x14ac:dyDescent="0.25">
      <c r="A38" s="25" t="s">
        <v>82</v>
      </c>
      <c r="B38" s="25" t="s">
        <v>54</v>
      </c>
      <c r="C38" s="25" t="s">
        <v>57</v>
      </c>
      <c r="D38">
        <v>42.429940000000002</v>
      </c>
      <c r="E38">
        <v>-81.204980000000006</v>
      </c>
      <c r="F38" s="25" t="s">
        <v>58</v>
      </c>
      <c r="G38" s="27">
        <v>21</v>
      </c>
      <c r="H38" s="3">
        <v>24024</v>
      </c>
      <c r="I38" s="45">
        <v>24269</v>
      </c>
      <c r="J38" s="3">
        <v>58</v>
      </c>
      <c r="K38" s="25"/>
    </row>
    <row r="39" spans="1:11" x14ac:dyDescent="0.25">
      <c r="A39" s="25" t="s">
        <v>82</v>
      </c>
      <c r="B39" s="25" t="s">
        <v>54</v>
      </c>
      <c r="C39" s="25" t="s">
        <v>57</v>
      </c>
      <c r="D39">
        <v>42.429940000000002</v>
      </c>
      <c r="E39">
        <v>-81.204980000000006</v>
      </c>
      <c r="F39" s="25" t="s">
        <v>38</v>
      </c>
      <c r="G39" s="27">
        <v>21</v>
      </c>
      <c r="H39" s="3">
        <v>24026</v>
      </c>
      <c r="I39" s="45">
        <v>24271</v>
      </c>
      <c r="J39" s="3">
        <v>60</v>
      </c>
      <c r="K39" s="25"/>
    </row>
    <row r="40" spans="1:11" x14ac:dyDescent="0.25">
      <c r="A40" s="25" t="s">
        <v>82</v>
      </c>
      <c r="B40" s="25" t="s">
        <v>54</v>
      </c>
      <c r="C40" s="25" t="s">
        <v>57</v>
      </c>
      <c r="D40">
        <v>42.429940000000002</v>
      </c>
      <c r="E40">
        <v>-81.204980000000006</v>
      </c>
      <c r="F40" s="25" t="s">
        <v>75</v>
      </c>
      <c r="G40" s="27"/>
      <c r="H40" s="3"/>
      <c r="I40" s="3">
        <v>24270</v>
      </c>
      <c r="J40" s="3">
        <v>59</v>
      </c>
      <c r="K40" s="25"/>
    </row>
    <row r="41" spans="1:11" x14ac:dyDescent="0.25">
      <c r="A41" s="25" t="s">
        <v>82</v>
      </c>
      <c r="B41" s="25" t="s">
        <v>54</v>
      </c>
      <c r="C41" s="25" t="s">
        <v>57</v>
      </c>
      <c r="D41">
        <v>42.429940000000002</v>
      </c>
      <c r="E41">
        <v>-81.204980000000006</v>
      </c>
      <c r="F41" s="25" t="s">
        <v>69</v>
      </c>
      <c r="G41" s="27"/>
      <c r="H41" s="3"/>
      <c r="I41" s="3"/>
      <c r="J41" s="3">
        <v>116</v>
      </c>
      <c r="K41" s="25"/>
    </row>
    <row r="42" spans="1:11" x14ac:dyDescent="0.25">
      <c r="A42" s="25" t="s">
        <v>83</v>
      </c>
      <c r="B42" s="25" t="s">
        <v>54</v>
      </c>
      <c r="C42" s="25" t="s">
        <v>57</v>
      </c>
      <c r="D42">
        <v>42.253419999999998</v>
      </c>
      <c r="E42">
        <v>-81.106880000000004</v>
      </c>
      <c r="F42" s="25" t="s">
        <v>58</v>
      </c>
      <c r="G42" s="27">
        <v>22</v>
      </c>
      <c r="H42" s="3">
        <v>24028</v>
      </c>
      <c r="I42" s="45">
        <v>24273</v>
      </c>
      <c r="J42" s="3">
        <v>64</v>
      </c>
      <c r="K42" s="25"/>
    </row>
    <row r="43" spans="1:11" x14ac:dyDescent="0.25">
      <c r="A43" s="25" t="s">
        <v>83</v>
      </c>
      <c r="B43" s="25" t="s">
        <v>54</v>
      </c>
      <c r="C43" s="25" t="s">
        <v>57</v>
      </c>
      <c r="D43">
        <v>42.253419999999998</v>
      </c>
      <c r="E43">
        <v>-81.106880000000004</v>
      </c>
      <c r="F43" s="25" t="s">
        <v>38</v>
      </c>
      <c r="G43" s="27">
        <v>22</v>
      </c>
      <c r="H43" s="3">
        <v>24030</v>
      </c>
      <c r="I43" s="3">
        <v>24275</v>
      </c>
      <c r="J43" s="3">
        <v>66</v>
      </c>
      <c r="K43" s="25"/>
    </row>
    <row r="44" spans="1:11" x14ac:dyDescent="0.25">
      <c r="A44" s="25" t="s">
        <v>83</v>
      </c>
      <c r="B44" s="25" t="s">
        <v>54</v>
      </c>
      <c r="C44" s="25" t="s">
        <v>57</v>
      </c>
      <c r="D44">
        <v>42.253419999999998</v>
      </c>
      <c r="E44">
        <v>-81.106880000000004</v>
      </c>
      <c r="F44" s="25" t="s">
        <v>75</v>
      </c>
      <c r="G44" s="27"/>
      <c r="H44" s="3"/>
      <c r="I44" s="3">
        <v>24274</v>
      </c>
      <c r="J44" s="3">
        <v>65</v>
      </c>
      <c r="K44" s="25"/>
    </row>
    <row r="45" spans="1:11" x14ac:dyDescent="0.25">
      <c r="A45" s="25" t="s">
        <v>85</v>
      </c>
      <c r="B45" s="25" t="s">
        <v>54</v>
      </c>
      <c r="C45" s="25" t="s">
        <v>57</v>
      </c>
      <c r="D45">
        <v>42.081609999999998</v>
      </c>
      <c r="E45">
        <v>-81.011849999999995</v>
      </c>
      <c r="F45" s="25" t="s">
        <v>58</v>
      </c>
      <c r="G45" s="27">
        <v>21.4</v>
      </c>
      <c r="H45" s="3">
        <v>24032</v>
      </c>
      <c r="I45" s="56">
        <v>24277</v>
      </c>
      <c r="J45" s="3">
        <v>70</v>
      </c>
      <c r="K45" s="50" t="s">
        <v>113</v>
      </c>
    </row>
    <row r="46" spans="1:11" x14ac:dyDescent="0.25">
      <c r="A46" s="25" t="s">
        <v>85</v>
      </c>
      <c r="B46" s="25" t="s">
        <v>54</v>
      </c>
      <c r="C46" s="25" t="s">
        <v>57</v>
      </c>
      <c r="D46">
        <v>42.081609999999998</v>
      </c>
      <c r="E46">
        <v>-81.011849999999995</v>
      </c>
      <c r="F46" s="25" t="s">
        <v>38</v>
      </c>
      <c r="G46" s="27">
        <v>21.4</v>
      </c>
      <c r="H46" s="3">
        <v>24034</v>
      </c>
      <c r="I46" s="56">
        <v>24279</v>
      </c>
      <c r="J46" s="3">
        <v>72</v>
      </c>
      <c r="K46" s="50" t="s">
        <v>113</v>
      </c>
    </row>
    <row r="47" spans="1:11" x14ac:dyDescent="0.25">
      <c r="A47" s="25" t="s">
        <v>85</v>
      </c>
      <c r="B47" s="25" t="s">
        <v>54</v>
      </c>
      <c r="C47" s="25" t="s">
        <v>57</v>
      </c>
      <c r="D47">
        <v>42.081609999999998</v>
      </c>
      <c r="E47">
        <v>-81.011849999999995</v>
      </c>
      <c r="F47" s="25" t="s">
        <v>75</v>
      </c>
      <c r="G47" s="27"/>
      <c r="H47" s="3"/>
      <c r="I47" s="8">
        <v>24278</v>
      </c>
      <c r="J47" s="3">
        <v>71</v>
      </c>
      <c r="K47" s="50" t="s">
        <v>113</v>
      </c>
    </row>
    <row r="48" spans="1:11" x14ac:dyDescent="0.25">
      <c r="A48" s="25" t="s">
        <v>85</v>
      </c>
      <c r="B48" s="25" t="s">
        <v>54</v>
      </c>
      <c r="C48" s="25" t="s">
        <v>57</v>
      </c>
      <c r="D48">
        <v>42.081609999999998</v>
      </c>
      <c r="E48">
        <v>-81.011849999999995</v>
      </c>
      <c r="F48" s="25" t="s">
        <v>76</v>
      </c>
      <c r="G48" s="27"/>
      <c r="H48" s="3"/>
      <c r="I48" s="8">
        <v>24280</v>
      </c>
      <c r="J48" s="3"/>
      <c r="K48" s="50" t="s">
        <v>113</v>
      </c>
    </row>
    <row r="49" spans="1:11" x14ac:dyDescent="0.25">
      <c r="A49" s="25" t="s">
        <v>79</v>
      </c>
      <c r="B49" s="25" t="s">
        <v>54</v>
      </c>
      <c r="C49" s="25" t="s">
        <v>57</v>
      </c>
      <c r="D49">
        <v>41.935009999999998</v>
      </c>
      <c r="E49">
        <v>-81.478200000000001</v>
      </c>
      <c r="F49" s="25" t="s">
        <v>58</v>
      </c>
      <c r="G49" s="27">
        <v>23</v>
      </c>
      <c r="H49" s="3">
        <v>24037</v>
      </c>
      <c r="I49" s="45">
        <v>24257</v>
      </c>
      <c r="J49" s="3">
        <v>46</v>
      </c>
      <c r="K49" s="25"/>
    </row>
    <row r="50" spans="1:11" x14ac:dyDescent="0.25">
      <c r="A50" s="25" t="s">
        <v>79</v>
      </c>
      <c r="B50" s="25" t="s">
        <v>54</v>
      </c>
      <c r="C50" s="25" t="s">
        <v>57</v>
      </c>
      <c r="D50">
        <v>41.935009999999998</v>
      </c>
      <c r="E50">
        <v>-81.478200000000001</v>
      </c>
      <c r="F50" s="25" t="s">
        <v>38</v>
      </c>
      <c r="G50" s="27">
        <v>23</v>
      </c>
      <c r="H50" s="3">
        <v>24038</v>
      </c>
      <c r="I50" s="3">
        <v>24259</v>
      </c>
      <c r="J50" s="3">
        <v>48</v>
      </c>
      <c r="K50" s="33"/>
    </row>
    <row r="51" spans="1:11" x14ac:dyDescent="0.25">
      <c r="A51" s="25" t="s">
        <v>79</v>
      </c>
      <c r="B51" s="25" t="s">
        <v>54</v>
      </c>
      <c r="C51" s="25" t="s">
        <v>57</v>
      </c>
      <c r="D51">
        <v>41.935009999999998</v>
      </c>
      <c r="E51">
        <v>-81.478200000000001</v>
      </c>
      <c r="F51" s="25" t="s">
        <v>75</v>
      </c>
      <c r="G51" s="27"/>
      <c r="H51" s="3"/>
      <c r="I51" s="45">
        <v>24258</v>
      </c>
      <c r="J51" s="3">
        <v>47</v>
      </c>
      <c r="K51" s="33"/>
    </row>
    <row r="52" spans="1:11" x14ac:dyDescent="0.25">
      <c r="A52" s="25" t="s">
        <v>63</v>
      </c>
      <c r="B52" s="25" t="s">
        <v>54</v>
      </c>
      <c r="C52" s="25" t="s">
        <v>57</v>
      </c>
      <c r="D52">
        <v>42.109850000000002</v>
      </c>
      <c r="E52">
        <v>-81.574759999999998</v>
      </c>
      <c r="F52" s="25" t="s">
        <v>58</v>
      </c>
      <c r="G52" s="27">
        <v>24</v>
      </c>
      <c r="H52" s="3">
        <v>24040</v>
      </c>
      <c r="I52" s="45">
        <v>24253</v>
      </c>
      <c r="J52" s="3">
        <v>49</v>
      </c>
      <c r="K52" s="33"/>
    </row>
    <row r="53" spans="1:11" x14ac:dyDescent="0.25">
      <c r="A53" s="25" t="s">
        <v>63</v>
      </c>
      <c r="B53" s="25" t="s">
        <v>54</v>
      </c>
      <c r="C53" s="25" t="s">
        <v>57</v>
      </c>
      <c r="D53">
        <v>42.109850000000002</v>
      </c>
      <c r="E53">
        <v>-81.574759999999998</v>
      </c>
      <c r="F53" s="25" t="s">
        <v>38</v>
      </c>
      <c r="G53" s="27">
        <v>24</v>
      </c>
      <c r="H53" s="3">
        <v>24042</v>
      </c>
      <c r="I53" s="3">
        <v>24255</v>
      </c>
      <c r="J53" s="3">
        <v>51</v>
      </c>
      <c r="K53" s="25"/>
    </row>
    <row r="54" spans="1:11" x14ac:dyDescent="0.25">
      <c r="A54" s="25" t="s">
        <v>63</v>
      </c>
      <c r="B54" s="25" t="s">
        <v>54</v>
      </c>
      <c r="C54" s="25" t="s">
        <v>57</v>
      </c>
      <c r="D54">
        <v>42.109850000000002</v>
      </c>
      <c r="E54">
        <v>-81.574759999999998</v>
      </c>
      <c r="F54" s="25" t="s">
        <v>75</v>
      </c>
      <c r="G54" s="27"/>
      <c r="H54" s="3"/>
      <c r="I54" s="45">
        <v>24254</v>
      </c>
      <c r="J54" s="3">
        <v>50</v>
      </c>
      <c r="K54" s="33"/>
    </row>
    <row r="55" spans="1:11" x14ac:dyDescent="0.25">
      <c r="A55" s="25" t="s">
        <v>81</v>
      </c>
      <c r="B55" s="25" t="s">
        <v>54</v>
      </c>
      <c r="C55" s="25" t="s">
        <v>57</v>
      </c>
      <c r="D55">
        <v>42.281860000000002</v>
      </c>
      <c r="E55">
        <v>-81.671940000000006</v>
      </c>
      <c r="F55" s="25" t="s">
        <v>58</v>
      </c>
      <c r="G55" s="27">
        <v>22.1</v>
      </c>
      <c r="H55" s="3">
        <v>24156</v>
      </c>
      <c r="I55" s="3">
        <v>24249</v>
      </c>
      <c r="J55" s="3">
        <v>52</v>
      </c>
      <c r="K55" s="25"/>
    </row>
    <row r="56" spans="1:11" x14ac:dyDescent="0.25">
      <c r="A56" s="25" t="s">
        <v>81</v>
      </c>
      <c r="B56" s="25" t="s">
        <v>54</v>
      </c>
      <c r="C56" s="25" t="s">
        <v>57</v>
      </c>
      <c r="D56">
        <v>42.281860000000002</v>
      </c>
      <c r="E56">
        <v>-81.671940000000006</v>
      </c>
      <c r="F56" s="25" t="s">
        <v>75</v>
      </c>
      <c r="G56" s="27">
        <v>22.1</v>
      </c>
      <c r="H56" s="3">
        <v>24157</v>
      </c>
      <c r="I56" s="45">
        <v>24250</v>
      </c>
      <c r="J56" s="3">
        <v>53</v>
      </c>
      <c r="K56" s="25"/>
    </row>
    <row r="57" spans="1:11" x14ac:dyDescent="0.25">
      <c r="A57" s="25" t="s">
        <v>81</v>
      </c>
      <c r="B57" s="25" t="s">
        <v>54</v>
      </c>
      <c r="C57" s="25" t="s">
        <v>57</v>
      </c>
      <c r="D57">
        <v>42.281860000000002</v>
      </c>
      <c r="E57">
        <v>-81.671940000000006</v>
      </c>
      <c r="F57" s="25" t="s">
        <v>38</v>
      </c>
      <c r="G57" s="27">
        <v>22.1</v>
      </c>
      <c r="H57" s="3">
        <v>24158</v>
      </c>
      <c r="I57" s="3">
        <v>24251</v>
      </c>
      <c r="J57" s="3">
        <v>54</v>
      </c>
      <c r="K57" s="25"/>
    </row>
    <row r="58" spans="1:11" x14ac:dyDescent="0.25">
      <c r="A58" s="25" t="s">
        <v>81</v>
      </c>
      <c r="B58" s="25" t="s">
        <v>54</v>
      </c>
      <c r="C58" s="25" t="s">
        <v>57</v>
      </c>
      <c r="D58">
        <v>42.281860000000002</v>
      </c>
      <c r="E58">
        <v>-81.671940000000006</v>
      </c>
      <c r="F58" s="25" t="s">
        <v>76</v>
      </c>
      <c r="G58" s="27"/>
      <c r="H58" s="3"/>
      <c r="I58" s="45">
        <v>24252</v>
      </c>
      <c r="K58" s="25"/>
    </row>
    <row r="59" spans="1:11" ht="17.5" customHeight="1" x14ac:dyDescent="0.25">
      <c r="A59" s="25" t="s">
        <v>74</v>
      </c>
      <c r="B59" s="25" t="s">
        <v>54</v>
      </c>
      <c r="C59" s="25" t="s">
        <v>57</v>
      </c>
      <c r="D59">
        <v>41.965359999999997</v>
      </c>
      <c r="E59">
        <v>-82.041989999999998</v>
      </c>
      <c r="F59" s="25" t="s">
        <v>75</v>
      </c>
      <c r="G59" s="27">
        <v>22.3</v>
      </c>
      <c r="H59" s="3">
        <v>24049</v>
      </c>
      <c r="I59" s="3">
        <v>24234</v>
      </c>
      <c r="J59" s="3">
        <v>41</v>
      </c>
      <c r="K59" s="25"/>
    </row>
    <row r="60" spans="1:11" ht="17.5" customHeight="1" x14ac:dyDescent="0.25">
      <c r="A60" s="25" t="s">
        <v>74</v>
      </c>
      <c r="B60" s="25" t="s">
        <v>54</v>
      </c>
      <c r="C60" s="25" t="s">
        <v>57</v>
      </c>
      <c r="D60">
        <v>41.965359999999997</v>
      </c>
      <c r="E60">
        <v>-82.041989999999998</v>
      </c>
      <c r="F60" s="25" t="s">
        <v>38</v>
      </c>
      <c r="G60" s="27">
        <v>22.3</v>
      </c>
      <c r="H60" s="3">
        <v>24050</v>
      </c>
      <c r="I60" s="3">
        <v>24235</v>
      </c>
      <c r="J60" s="3">
        <v>42</v>
      </c>
      <c r="K60" s="25"/>
    </row>
    <row r="61" spans="1:11" ht="17.5" customHeight="1" x14ac:dyDescent="0.25">
      <c r="A61" s="25" t="s">
        <v>74</v>
      </c>
      <c r="B61" s="25" t="s">
        <v>54</v>
      </c>
      <c r="C61" s="25" t="s">
        <v>57</v>
      </c>
      <c r="D61">
        <v>41.965359999999997</v>
      </c>
      <c r="E61">
        <v>-82.041989999999998</v>
      </c>
      <c r="F61" s="25" t="s">
        <v>76</v>
      </c>
      <c r="G61" s="27"/>
      <c r="H61" s="3"/>
      <c r="I61" s="45"/>
      <c r="J61" s="3">
        <v>118</v>
      </c>
      <c r="K61" s="25"/>
    </row>
    <row r="62" spans="1:11" x14ac:dyDescent="0.25">
      <c r="A62" s="25" t="s">
        <v>74</v>
      </c>
      <c r="B62" s="25" t="s">
        <v>54</v>
      </c>
      <c r="C62" s="25" t="s">
        <v>57</v>
      </c>
      <c r="D62">
        <v>41.965359999999997</v>
      </c>
      <c r="E62">
        <v>-82.041989999999998</v>
      </c>
      <c r="F62" s="25" t="s">
        <v>58</v>
      </c>
      <c r="G62" s="27"/>
      <c r="H62" s="3"/>
      <c r="I62" s="45">
        <v>24233</v>
      </c>
      <c r="J62" s="3">
        <v>40</v>
      </c>
      <c r="K62" s="25"/>
    </row>
    <row r="63" spans="1:11" x14ac:dyDescent="0.25">
      <c r="A63" s="25" t="s">
        <v>77</v>
      </c>
      <c r="B63" s="25" t="s">
        <v>54</v>
      </c>
      <c r="C63" s="25" t="s">
        <v>57</v>
      </c>
      <c r="D63">
        <v>41.788240000000002</v>
      </c>
      <c r="E63">
        <v>-81.945099999999996</v>
      </c>
      <c r="F63" s="25" t="s">
        <v>58</v>
      </c>
      <c r="G63" s="27">
        <v>22.3</v>
      </c>
      <c r="H63" s="3">
        <v>24052</v>
      </c>
      <c r="I63" s="3">
        <v>24237</v>
      </c>
      <c r="J63" s="9">
        <v>34</v>
      </c>
      <c r="K63" s="25"/>
    </row>
    <row r="64" spans="1:11" x14ac:dyDescent="0.25">
      <c r="A64" s="25" t="s">
        <v>77</v>
      </c>
      <c r="B64" s="25" t="s">
        <v>54</v>
      </c>
      <c r="C64" s="25" t="s">
        <v>57</v>
      </c>
      <c r="D64">
        <v>41.788240000000002</v>
      </c>
      <c r="E64">
        <v>-81.945099999999996</v>
      </c>
      <c r="F64" s="25" t="s">
        <v>75</v>
      </c>
      <c r="G64" s="27">
        <v>22.3</v>
      </c>
      <c r="H64" s="3">
        <v>24053</v>
      </c>
      <c r="I64" s="3">
        <v>24238</v>
      </c>
      <c r="J64" s="9">
        <v>35</v>
      </c>
      <c r="K64" s="25"/>
    </row>
    <row r="65" spans="1:11" x14ac:dyDescent="0.25">
      <c r="A65" s="25" t="s">
        <v>77</v>
      </c>
      <c r="B65" s="25" t="s">
        <v>54</v>
      </c>
      <c r="C65" s="25" t="s">
        <v>57</v>
      </c>
      <c r="D65">
        <v>41.788240000000002</v>
      </c>
      <c r="E65">
        <v>-81.945099999999996</v>
      </c>
      <c r="F65" s="25" t="s">
        <v>38</v>
      </c>
      <c r="G65" s="27">
        <v>22.3</v>
      </c>
      <c r="H65" s="3">
        <v>24054</v>
      </c>
      <c r="I65" s="45">
        <v>24239</v>
      </c>
      <c r="J65" s="9">
        <v>36</v>
      </c>
      <c r="K65" s="25"/>
    </row>
    <row r="66" spans="1:11" x14ac:dyDescent="0.25">
      <c r="A66" s="25" t="s">
        <v>59</v>
      </c>
      <c r="B66" s="25" t="s">
        <v>54</v>
      </c>
      <c r="C66" s="25" t="s">
        <v>57</v>
      </c>
      <c r="D66">
        <v>41.68488</v>
      </c>
      <c r="E66">
        <v>-82.932329999999993</v>
      </c>
      <c r="F66" s="25" t="s">
        <v>75</v>
      </c>
      <c r="G66" s="27">
        <v>9</v>
      </c>
      <c r="H66" s="45">
        <v>24001</v>
      </c>
      <c r="J66" s="25"/>
      <c r="K66" s="25"/>
    </row>
    <row r="67" spans="1:11" x14ac:dyDescent="0.25">
      <c r="A67" s="25" t="s">
        <v>59</v>
      </c>
      <c r="B67" s="25" t="s">
        <v>54</v>
      </c>
      <c r="C67" s="25" t="s">
        <v>57</v>
      </c>
      <c r="D67">
        <v>41.68488</v>
      </c>
      <c r="E67">
        <v>-82.932329999999993</v>
      </c>
      <c r="F67" s="25" t="s">
        <v>38</v>
      </c>
      <c r="G67" s="27">
        <v>9</v>
      </c>
      <c r="H67" s="3">
        <v>24002</v>
      </c>
      <c r="I67" s="45">
        <v>24207</v>
      </c>
      <c r="J67" s="3">
        <v>12</v>
      </c>
      <c r="K67" s="25"/>
    </row>
    <row r="68" spans="1:11" x14ac:dyDescent="0.25">
      <c r="A68" s="25" t="s">
        <v>59</v>
      </c>
      <c r="B68" s="25" t="s">
        <v>54</v>
      </c>
      <c r="C68" s="25" t="s">
        <v>57</v>
      </c>
      <c r="D68">
        <v>41.68488</v>
      </c>
      <c r="E68">
        <v>-82.932329999999993</v>
      </c>
      <c r="F68" s="25" t="s">
        <v>58</v>
      </c>
      <c r="G68" s="27"/>
      <c r="H68" s="3"/>
      <c r="I68" s="3">
        <v>24205</v>
      </c>
      <c r="J68" s="3">
        <v>10</v>
      </c>
      <c r="K68" s="25"/>
    </row>
    <row r="69" spans="1:11" x14ac:dyDescent="0.25">
      <c r="A69" s="25" t="s">
        <v>61</v>
      </c>
      <c r="B69" s="25" t="s">
        <v>54</v>
      </c>
      <c r="C69" s="25" t="s">
        <v>57</v>
      </c>
      <c r="D69">
        <v>41.727209999999999</v>
      </c>
      <c r="E69">
        <v>-83.150549999999996</v>
      </c>
      <c r="F69" s="25" t="s">
        <v>75</v>
      </c>
      <c r="G69" s="27">
        <v>8.1</v>
      </c>
      <c r="H69" s="3">
        <v>24005</v>
      </c>
      <c r="J69" s="25"/>
      <c r="K69" s="25"/>
    </row>
    <row r="70" spans="1:11" x14ac:dyDescent="0.25">
      <c r="A70" s="25" t="s">
        <v>61</v>
      </c>
      <c r="B70" s="25" t="s">
        <v>54</v>
      </c>
      <c r="C70" s="25" t="s">
        <v>57</v>
      </c>
      <c r="D70">
        <v>41.727209999999999</v>
      </c>
      <c r="E70">
        <v>-83.150549999999996</v>
      </c>
      <c r="F70" s="25" t="s">
        <v>38</v>
      </c>
      <c r="G70" s="27">
        <v>8.1</v>
      </c>
      <c r="H70" s="3">
        <v>24006</v>
      </c>
      <c r="I70" s="3">
        <v>24199</v>
      </c>
      <c r="J70" s="3">
        <v>15</v>
      </c>
      <c r="K70" s="25"/>
    </row>
    <row r="71" spans="1:11" x14ac:dyDescent="0.25">
      <c r="A71" s="25" t="s">
        <v>61</v>
      </c>
      <c r="B71" s="25" t="s">
        <v>54</v>
      </c>
      <c r="C71" s="25" t="s">
        <v>57</v>
      </c>
      <c r="D71">
        <v>41.727209999999999</v>
      </c>
      <c r="E71">
        <v>-83.150549999999996</v>
      </c>
      <c r="F71" s="25" t="s">
        <v>58</v>
      </c>
      <c r="G71" s="27"/>
      <c r="H71" s="3"/>
      <c r="I71" s="3">
        <v>24197</v>
      </c>
      <c r="J71" s="3">
        <v>13</v>
      </c>
      <c r="K71" s="25"/>
    </row>
    <row r="72" spans="1:11" x14ac:dyDescent="0.25">
      <c r="A72" s="25" t="s">
        <v>62</v>
      </c>
      <c r="B72" s="25" t="s">
        <v>54</v>
      </c>
      <c r="C72" s="25" t="s">
        <v>57</v>
      </c>
      <c r="D72">
        <v>41.891620000000003</v>
      </c>
      <c r="E72">
        <v>-83.196489999999997</v>
      </c>
      <c r="F72" s="25" t="s">
        <v>75</v>
      </c>
      <c r="G72" s="27">
        <v>8.1999999999999993</v>
      </c>
      <c r="H72" s="3">
        <v>24009</v>
      </c>
      <c r="J72" s="25"/>
      <c r="K72" s="25"/>
    </row>
    <row r="73" spans="1:11" x14ac:dyDescent="0.25">
      <c r="A73" s="25" t="s">
        <v>62</v>
      </c>
      <c r="B73" s="25" t="s">
        <v>54</v>
      </c>
      <c r="C73" s="25" t="s">
        <v>57</v>
      </c>
      <c r="D73">
        <v>41.891620000000003</v>
      </c>
      <c r="E73">
        <v>-83.196489999999997</v>
      </c>
      <c r="F73" s="25" t="s">
        <v>38</v>
      </c>
      <c r="G73" s="27">
        <v>8.1999999999999993</v>
      </c>
      <c r="H73" s="3">
        <v>24010</v>
      </c>
      <c r="I73" s="3">
        <v>24191</v>
      </c>
      <c r="J73" s="3">
        <v>18</v>
      </c>
      <c r="K73" s="25"/>
    </row>
    <row r="74" spans="1:11" x14ac:dyDescent="0.25">
      <c r="A74" s="25" t="s">
        <v>62</v>
      </c>
      <c r="B74" s="25" t="s">
        <v>54</v>
      </c>
      <c r="C74" s="25" t="s">
        <v>57</v>
      </c>
      <c r="D74">
        <v>41.891620000000003</v>
      </c>
      <c r="E74">
        <v>-83.196489999999997</v>
      </c>
      <c r="F74" s="25" t="s">
        <v>58</v>
      </c>
      <c r="G74" s="27"/>
      <c r="H74" s="3"/>
      <c r="I74" s="3">
        <v>24189</v>
      </c>
      <c r="J74" s="3">
        <v>16</v>
      </c>
      <c r="K74" s="25"/>
    </row>
    <row r="75" spans="1:11" x14ac:dyDescent="0.25">
      <c r="A75" s="25" t="s">
        <v>70</v>
      </c>
      <c r="B75" s="25" t="s">
        <v>54</v>
      </c>
      <c r="C75" s="25" t="s">
        <v>57</v>
      </c>
      <c r="D75">
        <v>41.9467</v>
      </c>
      <c r="E75">
        <v>-83.044799999999995</v>
      </c>
      <c r="F75" s="25" t="s">
        <v>75</v>
      </c>
      <c r="G75" s="27">
        <v>9.1</v>
      </c>
      <c r="H75" s="3">
        <v>24013</v>
      </c>
      <c r="J75" s="25"/>
      <c r="K75" s="25"/>
    </row>
    <row r="76" spans="1:11" x14ac:dyDescent="0.25">
      <c r="A76" s="25" t="s">
        <v>70</v>
      </c>
      <c r="B76" s="25" t="s">
        <v>54</v>
      </c>
      <c r="C76" s="25" t="s">
        <v>57</v>
      </c>
      <c r="D76">
        <v>41.9467</v>
      </c>
      <c r="E76">
        <v>-83.044799999999995</v>
      </c>
      <c r="F76" s="25" t="s">
        <v>38</v>
      </c>
      <c r="G76" s="27">
        <v>9.1</v>
      </c>
      <c r="H76" s="3">
        <v>24014</v>
      </c>
      <c r="I76" s="45">
        <v>24203</v>
      </c>
      <c r="J76" s="3">
        <v>21</v>
      </c>
      <c r="K76" s="25"/>
    </row>
    <row r="77" spans="1:11" x14ac:dyDescent="0.25">
      <c r="A77" s="25" t="s">
        <v>70</v>
      </c>
      <c r="B77" s="25" t="s">
        <v>54</v>
      </c>
      <c r="C77" s="25" t="s">
        <v>57</v>
      </c>
      <c r="D77">
        <v>41.9467</v>
      </c>
      <c r="E77">
        <v>-83.044799999999995</v>
      </c>
      <c r="F77" s="25" t="s">
        <v>58</v>
      </c>
      <c r="G77" s="27"/>
      <c r="H77" s="3"/>
      <c r="I77" s="3">
        <v>24201</v>
      </c>
      <c r="J77" s="3">
        <v>19</v>
      </c>
      <c r="K77" s="25"/>
    </row>
    <row r="78" spans="1:11" x14ac:dyDescent="0.25">
      <c r="A78" s="25" t="s">
        <v>60</v>
      </c>
      <c r="B78" s="25" t="s">
        <v>54</v>
      </c>
      <c r="C78" s="25" t="s">
        <v>57</v>
      </c>
      <c r="D78">
        <v>42.41554</v>
      </c>
      <c r="E78">
        <v>-79.800340000000006</v>
      </c>
      <c r="F78" s="25" t="s">
        <v>58</v>
      </c>
      <c r="G78" s="27">
        <v>47.3</v>
      </c>
      <c r="H78" s="3">
        <v>24076</v>
      </c>
      <c r="I78" s="3">
        <v>24301</v>
      </c>
      <c r="J78" s="3">
        <v>79</v>
      </c>
      <c r="K78" s="25"/>
    </row>
    <row r="79" spans="1:11" x14ac:dyDescent="0.25">
      <c r="A79" s="25" t="s">
        <v>60</v>
      </c>
      <c r="B79" s="25" t="s">
        <v>54</v>
      </c>
      <c r="C79" s="25" t="s">
        <v>57</v>
      </c>
      <c r="D79">
        <v>42.41554</v>
      </c>
      <c r="E79">
        <v>-79.800340000000006</v>
      </c>
      <c r="F79" s="25" t="s">
        <v>75</v>
      </c>
      <c r="G79" s="27">
        <v>47.3</v>
      </c>
      <c r="H79" s="3">
        <v>24077</v>
      </c>
      <c r="I79" s="3">
        <v>24302</v>
      </c>
      <c r="J79" s="3">
        <v>80</v>
      </c>
      <c r="K79" s="25"/>
    </row>
    <row r="80" spans="1:11" x14ac:dyDescent="0.25">
      <c r="A80" s="25" t="s">
        <v>60</v>
      </c>
      <c r="B80" s="25" t="s">
        <v>54</v>
      </c>
      <c r="C80" s="25" t="s">
        <v>57</v>
      </c>
      <c r="D80">
        <v>42.41554</v>
      </c>
      <c r="E80">
        <v>-79.800340000000006</v>
      </c>
      <c r="F80" s="25" t="s">
        <v>38</v>
      </c>
      <c r="G80" s="27">
        <v>47.3</v>
      </c>
      <c r="H80" s="3">
        <v>24078</v>
      </c>
      <c r="I80" s="3">
        <v>24303</v>
      </c>
      <c r="J80" s="3">
        <v>81</v>
      </c>
      <c r="K80" s="25"/>
    </row>
    <row r="81" spans="1:11" x14ac:dyDescent="0.25">
      <c r="A81" s="25" t="s">
        <v>78</v>
      </c>
      <c r="B81" s="25" t="s">
        <v>54</v>
      </c>
      <c r="C81" s="25" t="s">
        <v>57</v>
      </c>
      <c r="D81">
        <v>41.978140000000003</v>
      </c>
      <c r="E81">
        <v>-81.756150000000005</v>
      </c>
      <c r="F81" s="25" t="s">
        <v>58</v>
      </c>
      <c r="G81" s="27">
        <v>24.2</v>
      </c>
      <c r="H81" s="3">
        <v>24056</v>
      </c>
      <c r="I81" s="3">
        <v>24241</v>
      </c>
      <c r="J81" s="3">
        <v>43</v>
      </c>
      <c r="K81" s="25"/>
    </row>
    <row r="82" spans="1:11" ht="12.5" customHeight="1" x14ac:dyDescent="0.25">
      <c r="A82" s="25" t="s">
        <v>78</v>
      </c>
      <c r="B82" s="25" t="s">
        <v>54</v>
      </c>
      <c r="C82" s="25" t="s">
        <v>57</v>
      </c>
      <c r="D82">
        <v>41.978140000000003</v>
      </c>
      <c r="E82">
        <v>-81.756150000000005</v>
      </c>
      <c r="F82" s="25" t="s">
        <v>75</v>
      </c>
      <c r="G82" s="27">
        <v>24.2</v>
      </c>
      <c r="H82" s="3">
        <v>24057</v>
      </c>
      <c r="I82" s="45">
        <v>24242</v>
      </c>
      <c r="J82" s="3">
        <v>44</v>
      </c>
      <c r="K82" s="25"/>
    </row>
    <row r="83" spans="1:11" ht="12.5" customHeight="1" x14ac:dyDescent="0.25">
      <c r="A83" s="25" t="s">
        <v>78</v>
      </c>
      <c r="B83" s="25" t="s">
        <v>54</v>
      </c>
      <c r="C83" s="25" t="s">
        <v>57</v>
      </c>
      <c r="D83">
        <v>41.978140000000003</v>
      </c>
      <c r="E83">
        <v>-81.756150000000005</v>
      </c>
      <c r="F83" s="25" t="s">
        <v>38</v>
      </c>
      <c r="G83" s="27">
        <v>24.2</v>
      </c>
      <c r="H83" s="3">
        <v>24058</v>
      </c>
      <c r="I83" s="3">
        <v>24243</v>
      </c>
      <c r="J83" s="3">
        <v>45</v>
      </c>
      <c r="K83" s="25"/>
    </row>
    <row r="84" spans="1:11" ht="12.5" customHeight="1" x14ac:dyDescent="0.25">
      <c r="A84" s="25" t="s">
        <v>84</v>
      </c>
      <c r="B84" s="25" t="s">
        <v>54</v>
      </c>
      <c r="C84" s="25" t="s">
        <v>57</v>
      </c>
      <c r="D84">
        <v>42.116590000000002</v>
      </c>
      <c r="E84">
        <v>-81.250360000000001</v>
      </c>
      <c r="F84" s="25" t="s">
        <v>75</v>
      </c>
      <c r="G84" s="27">
        <v>23</v>
      </c>
      <c r="H84" s="3">
        <v>24061</v>
      </c>
      <c r="I84" s="3">
        <v>24266</v>
      </c>
      <c r="J84" s="3">
        <v>68</v>
      </c>
      <c r="K84" s="25"/>
    </row>
    <row r="85" spans="1:11" x14ac:dyDescent="0.25">
      <c r="A85" s="25" t="s">
        <v>84</v>
      </c>
      <c r="B85" s="25" t="s">
        <v>54</v>
      </c>
      <c r="C85" s="25" t="s">
        <v>57</v>
      </c>
      <c r="D85">
        <v>42.116590000000002</v>
      </c>
      <c r="E85">
        <v>-81.250360000000001</v>
      </c>
      <c r="F85" s="25" t="s">
        <v>38</v>
      </c>
      <c r="G85" s="27">
        <v>23</v>
      </c>
      <c r="H85" s="3">
        <v>24062</v>
      </c>
      <c r="I85" s="45">
        <v>24267</v>
      </c>
      <c r="J85" s="3">
        <v>69</v>
      </c>
      <c r="K85" s="25"/>
    </row>
    <row r="86" spans="1:11" x14ac:dyDescent="0.25">
      <c r="A86" s="25" t="s">
        <v>84</v>
      </c>
      <c r="B86" s="25" t="s">
        <v>54</v>
      </c>
      <c r="C86" s="25" t="s">
        <v>57</v>
      </c>
      <c r="D86">
        <v>42.116590000000002</v>
      </c>
      <c r="E86">
        <v>-81.250360000000001</v>
      </c>
      <c r="F86" s="34" t="s">
        <v>76</v>
      </c>
      <c r="I86" s="45">
        <v>24268</v>
      </c>
      <c r="J86" s="3"/>
      <c r="K86" s="25"/>
    </row>
    <row r="87" spans="1:11" x14ac:dyDescent="0.25">
      <c r="A87" s="25" t="s">
        <v>84</v>
      </c>
      <c r="B87" s="25" t="s">
        <v>54</v>
      </c>
      <c r="C87" s="25" t="s">
        <v>57</v>
      </c>
      <c r="D87">
        <v>42.116590000000002</v>
      </c>
      <c r="E87">
        <v>-81.250360000000001</v>
      </c>
      <c r="F87" s="34" t="s">
        <v>58</v>
      </c>
      <c r="G87" s="27"/>
      <c r="H87" s="3"/>
      <c r="I87" s="45">
        <v>24265</v>
      </c>
      <c r="J87" s="3">
        <v>67</v>
      </c>
      <c r="K87" s="25"/>
    </row>
    <row r="88" spans="1:11" x14ac:dyDescent="0.25">
      <c r="A88" s="25" t="s">
        <v>71</v>
      </c>
      <c r="B88" s="25" t="s">
        <v>54</v>
      </c>
      <c r="C88" s="25" t="s">
        <v>57</v>
      </c>
      <c r="D88">
        <v>41.84057</v>
      </c>
      <c r="E88">
        <v>-82.916929999999994</v>
      </c>
      <c r="F88" s="25" t="s">
        <v>75</v>
      </c>
      <c r="G88" s="27">
        <v>10.4</v>
      </c>
      <c r="H88" s="3">
        <v>24017</v>
      </c>
      <c r="J88" s="25"/>
      <c r="K88" s="25"/>
    </row>
    <row r="89" spans="1:11" x14ac:dyDescent="0.25">
      <c r="A89" s="25" t="s">
        <v>71</v>
      </c>
      <c r="B89" s="25" t="s">
        <v>54</v>
      </c>
      <c r="C89" s="25" t="s">
        <v>57</v>
      </c>
      <c r="D89">
        <v>41.84057</v>
      </c>
      <c r="E89">
        <v>-82.916929999999994</v>
      </c>
      <c r="F89" s="25" t="s">
        <v>38</v>
      </c>
      <c r="G89" s="27">
        <v>10.4</v>
      </c>
      <c r="H89" s="3">
        <v>24018</v>
      </c>
      <c r="I89" s="3">
        <v>24211</v>
      </c>
      <c r="J89" s="3">
        <v>24</v>
      </c>
      <c r="K89" s="25"/>
    </row>
    <row r="90" spans="1:11" x14ac:dyDescent="0.25">
      <c r="A90" s="25" t="s">
        <v>71</v>
      </c>
      <c r="B90" s="25" t="s">
        <v>54</v>
      </c>
      <c r="C90" s="25" t="s">
        <v>57</v>
      </c>
      <c r="D90">
        <v>41.84057</v>
      </c>
      <c r="E90">
        <v>-82.916929999999994</v>
      </c>
      <c r="F90" s="25" t="s">
        <v>58</v>
      </c>
      <c r="G90" s="27"/>
      <c r="H90" s="3"/>
      <c r="I90" s="3">
        <v>24209</v>
      </c>
      <c r="J90" s="3">
        <v>22</v>
      </c>
      <c r="K90" s="25"/>
    </row>
    <row r="91" spans="1:11" x14ac:dyDescent="0.25">
      <c r="A91" s="25" t="s">
        <v>73</v>
      </c>
      <c r="B91" s="25" t="s">
        <v>54</v>
      </c>
      <c r="C91" s="25" t="s">
        <v>57</v>
      </c>
      <c r="D91">
        <v>41.95</v>
      </c>
      <c r="E91">
        <v>-82.685760000000002</v>
      </c>
      <c r="F91" s="25" t="s">
        <v>75</v>
      </c>
      <c r="G91" s="27">
        <v>11.1</v>
      </c>
      <c r="H91" s="3">
        <v>24021</v>
      </c>
      <c r="J91" s="25"/>
      <c r="K91" s="25"/>
    </row>
    <row r="92" spans="1:11" x14ac:dyDescent="0.25">
      <c r="A92" s="25" t="s">
        <v>73</v>
      </c>
      <c r="B92" s="25" t="s">
        <v>54</v>
      </c>
      <c r="C92" s="25" t="s">
        <v>57</v>
      </c>
      <c r="D92">
        <v>41.95</v>
      </c>
      <c r="E92">
        <v>-82.685760000000002</v>
      </c>
      <c r="F92" s="25" t="s">
        <v>38</v>
      </c>
      <c r="G92" s="27">
        <v>11.1</v>
      </c>
      <c r="H92" s="3">
        <v>24022</v>
      </c>
      <c r="I92" s="45">
        <v>24215</v>
      </c>
      <c r="J92" s="3">
        <v>27</v>
      </c>
      <c r="K92" s="25"/>
    </row>
    <row r="93" spans="1:11" x14ac:dyDescent="0.25">
      <c r="A93" s="25" t="s">
        <v>73</v>
      </c>
      <c r="B93" s="25" t="s">
        <v>54</v>
      </c>
      <c r="C93" s="25" t="s">
        <v>57</v>
      </c>
      <c r="D93">
        <v>41.95</v>
      </c>
      <c r="E93">
        <v>-82.685760000000002</v>
      </c>
      <c r="F93" s="25" t="s">
        <v>58</v>
      </c>
      <c r="G93" s="27"/>
      <c r="H93" s="3"/>
      <c r="I93" s="3">
        <v>24213</v>
      </c>
      <c r="J93" s="3">
        <v>25</v>
      </c>
      <c r="K93" s="25"/>
    </row>
    <row r="94" spans="1:11" x14ac:dyDescent="0.25">
      <c r="A94" s="50" t="s">
        <v>115</v>
      </c>
      <c r="B94" s="25" t="s">
        <v>54</v>
      </c>
      <c r="C94" s="25" t="s">
        <v>57</v>
      </c>
      <c r="D94">
        <v>42.000619999999998</v>
      </c>
      <c r="E94">
        <v>-80.66695</v>
      </c>
      <c r="F94" s="25" t="s">
        <v>58</v>
      </c>
      <c r="G94" s="27">
        <v>17</v>
      </c>
      <c r="H94" s="3">
        <v>24124</v>
      </c>
      <c r="I94" s="56">
        <v>24285</v>
      </c>
      <c r="J94" s="3">
        <v>73</v>
      </c>
      <c r="K94" s="50" t="s">
        <v>113</v>
      </c>
    </row>
    <row r="95" spans="1:11" x14ac:dyDescent="0.25">
      <c r="A95" s="50" t="s">
        <v>115</v>
      </c>
      <c r="B95" s="25" t="s">
        <v>54</v>
      </c>
      <c r="C95" s="25" t="s">
        <v>57</v>
      </c>
      <c r="D95">
        <v>42.000619999999998</v>
      </c>
      <c r="E95">
        <v>-80.66695</v>
      </c>
      <c r="F95" s="25" t="s">
        <v>38</v>
      </c>
      <c r="G95" s="27">
        <v>17</v>
      </c>
      <c r="H95" s="3">
        <v>24126</v>
      </c>
      <c r="I95" s="8">
        <v>24287</v>
      </c>
      <c r="J95" s="3">
        <v>75</v>
      </c>
      <c r="K95" s="50" t="s">
        <v>113</v>
      </c>
    </row>
    <row r="96" spans="1:11" x14ac:dyDescent="0.25">
      <c r="A96" s="50" t="s">
        <v>115</v>
      </c>
      <c r="B96" s="25" t="s">
        <v>54</v>
      </c>
      <c r="C96" s="25" t="s">
        <v>57</v>
      </c>
      <c r="D96">
        <v>42.000619999999998</v>
      </c>
      <c r="E96">
        <v>-80.66695</v>
      </c>
      <c r="F96" s="25" t="s">
        <v>76</v>
      </c>
      <c r="G96" s="27">
        <v>17</v>
      </c>
      <c r="H96" s="3">
        <v>24127</v>
      </c>
      <c r="J96" s="3">
        <v>117</v>
      </c>
      <c r="K96" s="25"/>
    </row>
    <row r="97" spans="1:11" x14ac:dyDescent="0.25">
      <c r="A97" s="50" t="s">
        <v>115</v>
      </c>
      <c r="B97" s="25" t="s">
        <v>54</v>
      </c>
      <c r="C97" s="25" t="s">
        <v>57</v>
      </c>
      <c r="D97">
        <v>42.000619999999998</v>
      </c>
      <c r="E97">
        <v>-80.66695</v>
      </c>
      <c r="F97" s="25" t="s">
        <v>75</v>
      </c>
      <c r="G97" s="27"/>
      <c r="H97" s="45"/>
      <c r="J97" s="3">
        <v>74</v>
      </c>
      <c r="K97" s="25"/>
    </row>
    <row r="98" spans="1:11" x14ac:dyDescent="0.25">
      <c r="A98" s="50" t="s">
        <v>115</v>
      </c>
      <c r="B98" s="25" t="s">
        <v>54</v>
      </c>
      <c r="C98" s="25" t="s">
        <v>57</v>
      </c>
      <c r="D98">
        <v>42.000619999999998</v>
      </c>
      <c r="E98">
        <v>-80.66695</v>
      </c>
      <c r="F98" s="25" t="s">
        <v>99</v>
      </c>
      <c r="G98" s="27"/>
      <c r="H98" s="45"/>
      <c r="I98" s="56">
        <v>24288</v>
      </c>
      <c r="J98" s="25"/>
      <c r="K98" s="50" t="s">
        <v>113</v>
      </c>
    </row>
    <row r="99" spans="1:11" x14ac:dyDescent="0.25">
      <c r="A99" s="25" t="s">
        <v>96</v>
      </c>
      <c r="B99" s="25" t="s">
        <v>54</v>
      </c>
      <c r="C99" s="25" t="s">
        <v>57</v>
      </c>
      <c r="D99">
        <v>42.633629999999997</v>
      </c>
      <c r="E99">
        <v>-80.874899999999997</v>
      </c>
      <c r="F99" s="25" t="s">
        <v>58</v>
      </c>
      <c r="G99" s="27">
        <v>11.4</v>
      </c>
      <c r="H99" s="3">
        <v>24108</v>
      </c>
      <c r="I99" s="3">
        <v>24281</v>
      </c>
      <c r="J99" s="3">
        <v>61</v>
      </c>
    </row>
    <row r="100" spans="1:11" x14ac:dyDescent="0.25">
      <c r="A100" s="25" t="s">
        <v>96</v>
      </c>
      <c r="B100" s="25" t="s">
        <v>54</v>
      </c>
      <c r="C100" s="25" t="s">
        <v>57</v>
      </c>
      <c r="D100">
        <v>42.633629999999997</v>
      </c>
      <c r="E100">
        <v>-80.874899999999997</v>
      </c>
      <c r="F100" s="25" t="s">
        <v>38</v>
      </c>
      <c r="G100" s="27">
        <v>11.4</v>
      </c>
      <c r="H100" s="3">
        <v>24110</v>
      </c>
      <c r="I100" s="3">
        <v>24283</v>
      </c>
      <c r="J100" s="3">
        <v>63</v>
      </c>
      <c r="K100" s="25"/>
    </row>
    <row r="101" spans="1:11" x14ac:dyDescent="0.25">
      <c r="A101" s="25" t="s">
        <v>96</v>
      </c>
      <c r="B101" s="25" t="s">
        <v>54</v>
      </c>
      <c r="C101" s="25" t="s">
        <v>57</v>
      </c>
      <c r="D101">
        <v>42.633629999999997</v>
      </c>
      <c r="E101">
        <v>-80.874899999999997</v>
      </c>
      <c r="F101" s="25" t="s">
        <v>99</v>
      </c>
      <c r="G101" s="27"/>
      <c r="I101" s="45">
        <v>24284</v>
      </c>
      <c r="J101" s="25"/>
    </row>
    <row r="102" spans="1:11" x14ac:dyDescent="0.25">
      <c r="A102" s="25" t="s">
        <v>92</v>
      </c>
      <c r="B102" s="25" t="s">
        <v>54</v>
      </c>
      <c r="C102" s="25" t="s">
        <v>57</v>
      </c>
      <c r="F102" s="52" t="s">
        <v>69</v>
      </c>
      <c r="G102" s="25" t="s">
        <v>69</v>
      </c>
      <c r="H102" s="3">
        <v>24003</v>
      </c>
      <c r="K102" s="25"/>
    </row>
    <row r="103" spans="1:11" x14ac:dyDescent="0.25">
      <c r="A103" s="33" t="s">
        <v>92</v>
      </c>
      <c r="B103" s="25" t="s">
        <v>54</v>
      </c>
      <c r="C103" s="25" t="s">
        <v>57</v>
      </c>
      <c r="F103" s="25" t="s">
        <v>69</v>
      </c>
      <c r="G103" s="27">
        <v>22</v>
      </c>
      <c r="H103" s="3">
        <v>24031</v>
      </c>
      <c r="J103" s="25"/>
      <c r="K103" s="33"/>
    </row>
    <row r="104" spans="1:11" x14ac:dyDescent="0.25">
      <c r="A104" s="33" t="s">
        <v>92</v>
      </c>
      <c r="B104" s="25" t="s">
        <v>54</v>
      </c>
      <c r="C104" s="25" t="s">
        <v>57</v>
      </c>
      <c r="F104" s="25" t="s">
        <v>69</v>
      </c>
      <c r="G104" s="27">
        <v>22.3</v>
      </c>
      <c r="H104" s="3">
        <v>24051</v>
      </c>
      <c r="J104" s="25"/>
      <c r="K104" s="25"/>
    </row>
    <row r="105" spans="1:11" x14ac:dyDescent="0.25">
      <c r="A105" s="33" t="s">
        <v>92</v>
      </c>
      <c r="B105" s="25" t="s">
        <v>54</v>
      </c>
      <c r="C105" s="25" t="s">
        <v>57</v>
      </c>
      <c r="F105" s="25" t="s">
        <v>69</v>
      </c>
      <c r="G105" s="27">
        <v>33</v>
      </c>
      <c r="H105" s="3">
        <v>24071</v>
      </c>
      <c r="J105" s="25"/>
      <c r="K105" s="33"/>
    </row>
    <row r="106" spans="1:11" x14ac:dyDescent="0.25">
      <c r="A106" s="25" t="s">
        <v>94</v>
      </c>
      <c r="B106" s="25" t="s">
        <v>54</v>
      </c>
      <c r="C106" s="25" t="s">
        <v>57</v>
      </c>
      <c r="D106">
        <v>41.994799999999998</v>
      </c>
      <c r="E106">
        <v>-82.449719999999999</v>
      </c>
      <c r="F106" s="25" t="s">
        <v>75</v>
      </c>
      <c r="G106" s="27">
        <v>13.1</v>
      </c>
      <c r="H106" s="3">
        <v>24085</v>
      </c>
    </row>
    <row r="107" spans="1:11" x14ac:dyDescent="0.25">
      <c r="A107" s="25" t="s">
        <v>94</v>
      </c>
      <c r="B107" s="25" t="s">
        <v>54</v>
      </c>
      <c r="C107" s="25" t="s">
        <v>57</v>
      </c>
      <c r="D107">
        <v>41.994799999999998</v>
      </c>
      <c r="E107">
        <v>-82.449719999999999</v>
      </c>
      <c r="F107" s="25" t="s">
        <v>38</v>
      </c>
      <c r="G107" s="27">
        <v>13.1</v>
      </c>
      <c r="H107" s="3">
        <v>24086</v>
      </c>
      <c r="I107" s="45">
        <v>24223</v>
      </c>
      <c r="J107" s="3">
        <v>33</v>
      </c>
      <c r="K107" s="33"/>
    </row>
    <row r="108" spans="1:11" x14ac:dyDescent="0.25">
      <c r="A108" s="25" t="s">
        <v>94</v>
      </c>
      <c r="B108" s="25" t="s">
        <v>54</v>
      </c>
      <c r="C108" s="25" t="s">
        <v>57</v>
      </c>
      <c r="D108">
        <v>41.994799999999998</v>
      </c>
      <c r="E108">
        <v>-82.449719999999999</v>
      </c>
      <c r="F108" s="25" t="s">
        <v>58</v>
      </c>
      <c r="G108" s="27"/>
      <c r="H108" s="3"/>
      <c r="I108" s="3">
        <v>24221</v>
      </c>
      <c r="J108" s="3">
        <v>31</v>
      </c>
      <c r="K108" s="33"/>
    </row>
    <row r="109" spans="1:11" x14ac:dyDescent="0.25">
      <c r="A109" s="25" t="s">
        <v>98</v>
      </c>
      <c r="B109" s="25" t="s">
        <v>54</v>
      </c>
      <c r="C109" s="25" t="s">
        <v>57</v>
      </c>
      <c r="D109">
        <v>42.181089999999998</v>
      </c>
      <c r="E109">
        <v>-80.156220000000005</v>
      </c>
      <c r="F109" s="25" t="s">
        <v>58</v>
      </c>
      <c r="G109" s="27">
        <v>14.7</v>
      </c>
      <c r="H109" s="3">
        <v>24104</v>
      </c>
      <c r="I109" s="3">
        <v>24293</v>
      </c>
      <c r="J109" s="3">
        <v>76</v>
      </c>
    </row>
    <row r="110" spans="1:11" x14ac:dyDescent="0.25">
      <c r="A110" s="25" t="s">
        <v>98</v>
      </c>
      <c r="B110" s="25" t="s">
        <v>54</v>
      </c>
      <c r="C110" s="25" t="s">
        <v>57</v>
      </c>
      <c r="D110">
        <v>42.181089999999998</v>
      </c>
      <c r="E110">
        <v>-80.156220000000005</v>
      </c>
      <c r="F110" s="25" t="s">
        <v>38</v>
      </c>
      <c r="G110" s="27">
        <v>14.7</v>
      </c>
      <c r="H110" s="3">
        <v>24106</v>
      </c>
      <c r="I110" s="3">
        <v>24295</v>
      </c>
      <c r="J110" s="3">
        <v>78</v>
      </c>
    </row>
    <row r="111" spans="1:11" x14ac:dyDescent="0.25">
      <c r="A111" s="25" t="s">
        <v>98</v>
      </c>
      <c r="B111" s="25" t="s">
        <v>54</v>
      </c>
      <c r="C111" s="25" t="s">
        <v>57</v>
      </c>
      <c r="D111">
        <v>42.181089999999998</v>
      </c>
      <c r="E111">
        <v>-80.156220000000005</v>
      </c>
      <c r="F111" s="25" t="s">
        <v>75</v>
      </c>
      <c r="G111" s="27"/>
      <c r="H111" s="3"/>
      <c r="I111" s="3"/>
      <c r="J111" s="3">
        <v>77</v>
      </c>
    </row>
    <row r="112" spans="1:11" x14ac:dyDescent="0.25">
      <c r="A112" s="25" t="s">
        <v>98</v>
      </c>
      <c r="B112" s="25" t="s">
        <v>54</v>
      </c>
      <c r="C112" s="25" t="s">
        <v>57</v>
      </c>
      <c r="D112">
        <v>42.181089999999998</v>
      </c>
      <c r="E112">
        <v>-80.156220000000005</v>
      </c>
      <c r="F112" s="25" t="s">
        <v>99</v>
      </c>
      <c r="I112" s="3">
        <v>24296</v>
      </c>
    </row>
    <row r="113" spans="1:12" x14ac:dyDescent="0.25">
      <c r="A113" s="50" t="s">
        <v>113</v>
      </c>
      <c r="H113" s="8">
        <v>24007</v>
      </c>
      <c r="K113" s="50" t="s">
        <v>113</v>
      </c>
      <c r="L113" t="s">
        <v>124</v>
      </c>
    </row>
    <row r="114" spans="1:12" x14ac:dyDescent="0.25">
      <c r="A114" s="25" t="s">
        <v>101</v>
      </c>
      <c r="B114" s="25" t="s">
        <v>54</v>
      </c>
      <c r="C114" s="25" t="s">
        <v>57</v>
      </c>
      <c r="D114">
        <v>41.827199999999998</v>
      </c>
      <c r="E114">
        <v>-83.357420000000005</v>
      </c>
      <c r="F114" s="25" t="s">
        <v>58</v>
      </c>
      <c r="I114" s="3">
        <v>24181</v>
      </c>
    </row>
    <row r="115" spans="1:12" x14ac:dyDescent="0.25">
      <c r="A115" s="25" t="s">
        <v>102</v>
      </c>
      <c r="B115" s="25" t="s">
        <v>54</v>
      </c>
      <c r="C115" s="25" t="s">
        <v>57</v>
      </c>
      <c r="D115">
        <v>41.854500000000002</v>
      </c>
      <c r="E115">
        <v>-83.324269999999999</v>
      </c>
      <c r="F115" s="25" t="s">
        <v>58</v>
      </c>
      <c r="I115" s="3">
        <v>24185</v>
      </c>
    </row>
    <row r="117" spans="1:12" x14ac:dyDescent="0.25">
      <c r="C117" s="25"/>
      <c r="F117" s="26"/>
    </row>
    <row r="118" spans="1:12" x14ac:dyDescent="0.25">
      <c r="C118" s="25"/>
      <c r="F118" s="26"/>
    </row>
    <row r="119" spans="1:12" x14ac:dyDescent="0.25">
      <c r="C119" s="25"/>
      <c r="F119" s="26"/>
    </row>
    <row r="120" spans="1:12" x14ac:dyDescent="0.25">
      <c r="C120" s="25"/>
      <c r="F120" s="26"/>
    </row>
    <row r="121" spans="1:12" x14ac:dyDescent="0.25">
      <c r="G121" s="26"/>
    </row>
    <row r="122" spans="1:12" x14ac:dyDescent="0.25">
      <c r="G122" s="26"/>
    </row>
    <row r="123" spans="1:12" x14ac:dyDescent="0.25">
      <c r="G123" s="26"/>
    </row>
    <row r="124" spans="1:12" x14ac:dyDescent="0.25">
      <c r="G124" s="26"/>
    </row>
    <row r="125" spans="1:12" x14ac:dyDescent="0.25">
      <c r="G125"/>
    </row>
  </sheetData>
  <sortState xmlns:xlrd2="http://schemas.microsoft.com/office/spreadsheetml/2017/richdata2" ref="A2:L125">
    <sortCondition ref="A2:A125"/>
  </sortState>
  <dataValidations count="1">
    <dataValidation type="list" allowBlank="1" showInputMessage="1" showErrorMessage="1" sqref="F20:F21 F101:F114 F24:F26 F11:F12 F14:F18 F28:F96 F3:F9" xr:uid="{B66CD623-166B-47A9-90C1-725C27335363}">
      <formula1>"EPI,MID,B-,DUP,BLANK"</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 ME</vt:lpstr>
      <vt:lpstr>Water Quality Data</vt:lpstr>
      <vt:lpstr>Sample information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Gilbertson, Brent</dc:creator>
  <cp:lastModifiedBy>Jicha, Terri</cp:lastModifiedBy>
  <dcterms:created xsi:type="dcterms:W3CDTF">2025-05-15T18:31:01Z</dcterms:created>
  <dcterms:modified xsi:type="dcterms:W3CDTF">2026-03-24T13:45:55Z</dcterms:modified>
</cp:coreProperties>
</file>
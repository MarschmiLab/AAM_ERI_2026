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ugustuspendleton/Desktop/Schmidt_Lab/AAM_ERI_2024/external_data/"/>
    </mc:Choice>
  </mc:AlternateContent>
  <xr:revisionPtr revIDLastSave="0" documentId="13_ncr:1_{3B896324-C015-AC4A-8A84-F1917AA2CD17}" xr6:coauthVersionLast="47" xr6:coauthVersionMax="47" xr10:uidLastSave="{00000000-0000-0000-0000-000000000000}"/>
  <bookViews>
    <workbookView xWindow="0" yWindow="500" windowWidth="25600" windowHeight="14220" activeTab="1" xr2:uid="{47F114B7-F505-B144-B344-84CCE794DB13}"/>
  </bookViews>
  <sheets>
    <sheet name="Sheet1" sheetId="1" r:id="rId1"/>
    <sheet name="Sheet2" sheetId="2" r:id="rId2"/>
  </sheets>
  <definedNames>
    <definedName name="_xlnm._FilterDatabase" localSheetId="0" hidden="1">Sheet1!$A$1:$G$38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M6" i="2" s="1"/>
  <c r="L7" i="2"/>
  <c r="L8" i="2"/>
  <c r="L9" i="2"/>
  <c r="L10" i="2"/>
  <c r="L20" i="2" s="1"/>
  <c r="L11" i="2"/>
  <c r="L12" i="2"/>
  <c r="L13" i="2"/>
  <c r="L14" i="2"/>
  <c r="L15" i="2"/>
  <c r="L16" i="2"/>
  <c r="L17" i="2"/>
  <c r="L18" i="2"/>
  <c r="L19" i="2"/>
  <c r="L2" i="2"/>
  <c r="K20" i="2"/>
  <c r="J20" i="2"/>
  <c r="M3" i="2"/>
  <c r="M4" i="2"/>
  <c r="M5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" i="2"/>
  <c r="M20" i="2" l="1"/>
</calcChain>
</file>

<file path=xl/sharedStrings.xml><?xml version="1.0" encoding="utf-8"?>
<sst xmlns="http://schemas.openxmlformats.org/spreadsheetml/2006/main" count="217" uniqueCount="79">
  <si>
    <t>NAME</t>
  </si>
  <si>
    <t>LONGITUDE</t>
  </si>
  <si>
    <t>LATITUDE</t>
  </si>
  <si>
    <t>ER09</t>
  </si>
  <si>
    <t>ER10</t>
  </si>
  <si>
    <t>ER15M</t>
  </si>
  <si>
    <t>ER30</t>
  </si>
  <si>
    <t>ER31</t>
  </si>
  <si>
    <t>ER32</t>
  </si>
  <si>
    <t>ER36</t>
  </si>
  <si>
    <t>ER37</t>
  </si>
  <si>
    <t>ER38</t>
  </si>
  <si>
    <t>ER42</t>
  </si>
  <si>
    <t>ER43</t>
  </si>
  <si>
    <t>ER58</t>
  </si>
  <si>
    <t>ER59</t>
  </si>
  <si>
    <t>ER60</t>
  </si>
  <si>
    <t>ER61</t>
  </si>
  <si>
    <t>ER63</t>
  </si>
  <si>
    <t>ER73</t>
  </si>
  <si>
    <t>ER78M</t>
  </si>
  <si>
    <t>ER91M</t>
  </si>
  <si>
    <t>ER92</t>
  </si>
  <si>
    <t>ER 932n</t>
  </si>
  <si>
    <t>ER 936n</t>
  </si>
  <si>
    <t>ER 937n</t>
  </si>
  <si>
    <t>ER 951n</t>
  </si>
  <si>
    <t>ER 958n</t>
  </si>
  <si>
    <t>ER 959n</t>
  </si>
  <si>
    <t>ER 964n</t>
  </si>
  <si>
    <t>ER 966n</t>
  </si>
  <si>
    <t>ER G09n</t>
  </si>
  <si>
    <t>ER I28n</t>
  </si>
  <si>
    <t>ER N22n</t>
  </si>
  <si>
    <t>Nearshore</t>
  </si>
  <si>
    <t>Type</t>
  </si>
  <si>
    <t>Basin</t>
  </si>
  <si>
    <t>C</t>
  </si>
  <si>
    <t>Routine</t>
  </si>
  <si>
    <t>Depth in m</t>
  </si>
  <si>
    <t>E</t>
  </si>
  <si>
    <t>W</t>
  </si>
  <si>
    <t>ECSER932n</t>
  </si>
  <si>
    <t>ECSER936n</t>
  </si>
  <si>
    <t>ECSER937n</t>
  </si>
  <si>
    <t>ECSER951n</t>
  </si>
  <si>
    <t>ECSER958n</t>
  </si>
  <si>
    <t>ECSER959n</t>
  </si>
  <si>
    <t>ER 95b</t>
  </si>
  <si>
    <t>ECSER964n</t>
  </si>
  <si>
    <t>ECSER966n</t>
  </si>
  <si>
    <t>ECSERG09n</t>
  </si>
  <si>
    <t>ECSERI28n</t>
  </si>
  <si>
    <t>ECSERN22n</t>
  </si>
  <si>
    <t>Former ID</t>
  </si>
  <si>
    <t>NE</t>
  </si>
  <si>
    <t>SE</t>
  </si>
  <si>
    <t>NC</t>
  </si>
  <si>
    <t>SC</t>
  </si>
  <si>
    <t>Dunkirk, NY</t>
  </si>
  <si>
    <t>Port Cobourne, Ont</t>
  </si>
  <si>
    <t>Long Point Bay,Ont</t>
  </si>
  <si>
    <t>Cleveland, OH</t>
  </si>
  <si>
    <t>Port Crews, Ont</t>
  </si>
  <si>
    <t>Ashtabula, Ont</t>
  </si>
  <si>
    <t>Lorraine, OH</t>
  </si>
  <si>
    <t>Port Glasgow, Ont</t>
  </si>
  <si>
    <t>NW</t>
  </si>
  <si>
    <t>Leamington, Ont</t>
  </si>
  <si>
    <t>Point Pelee, Ont</t>
  </si>
  <si>
    <t>Erie, PA</t>
  </si>
  <si>
    <t>Port Burwell, Ont</t>
  </si>
  <si>
    <t>ER 95B benthos</t>
  </si>
  <si>
    <t>Nearest Town</t>
  </si>
  <si>
    <t>Num_Depths</t>
  </si>
  <si>
    <t>Num_0.22_Syringe</t>
  </si>
  <si>
    <t>Num_.22_Inline</t>
  </si>
  <si>
    <t>Num_3_Inline</t>
  </si>
  <si>
    <t>Num_Cryo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</si>
</sst>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6"/>
      <color theme="1"/>
      <name val="Arial"/>
      <family val="2"/>
    </font>
    <font>
      <sz val="16"/>
      <name val="Arial"/>
      <family val="2"/>
    </font>
    <font>
      <sz val="12"/>
      <color rgb="FF006100"/>
      <name val="Aptos Narrow"/>
      <family val="2"/>
      <scheme val="minor"/>
    </font>
    <font>
      <b/>
      <sz val="20"/>
      <name val="Arial"/>
      <family val="2"/>
    </font>
    <font>
      <sz val="20"/>
      <color theme="1"/>
      <name val="Arial"/>
      <family val="2"/>
    </font>
    <font>
      <sz val="20"/>
      <name val="Arial"/>
      <family val="2"/>
    </font>
    <font>
      <sz val="20"/>
      <color rgb="FF006100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2" borderId="0" xfId="1" applyFont="1"/>
    <xf numFmtId="0" fontId="9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34F0-CFB3-664C-BE31-4CE0D559DD49}">
  <sheetPr codeName="Sheet1"/>
  <dimension ref="A1:O34"/>
  <sheetViews>
    <sheetView zoomScale="60" zoomScaleNormal="60" workbookViewId="0">
      <selection activeCell="A2" sqref="A2:A17"/>
    </sheetView>
  </sheetViews>
  <sheetFormatPr baseColWidth="10" defaultRowHeight="20" x14ac:dyDescent="0.2"/>
  <cols>
    <col min="1" max="1" width="17.33203125" style="2" customWidth="1"/>
    <col min="2" max="2" width="18.5" style="2" customWidth="1"/>
    <col min="3" max="4" width="22.5" style="2" customWidth="1"/>
    <col min="5" max="6" width="10.83203125" style="2"/>
    <col min="7" max="7" width="18.5" style="2" customWidth="1"/>
    <col min="8" max="8" width="18" style="2" customWidth="1"/>
    <col min="9" max="9" width="16" style="2" customWidth="1"/>
    <col min="10" max="10" width="10.83203125" style="2"/>
  </cols>
  <sheetData>
    <row r="1" spans="1:15" ht="25" x14ac:dyDescent="0.25">
      <c r="A1" s="5" t="s">
        <v>0</v>
      </c>
      <c r="B1" s="5" t="s">
        <v>1</v>
      </c>
      <c r="C1" s="5" t="s">
        <v>2</v>
      </c>
      <c r="D1" s="5" t="s">
        <v>39</v>
      </c>
      <c r="E1" s="5" t="s">
        <v>36</v>
      </c>
      <c r="F1" s="6" t="s">
        <v>35</v>
      </c>
      <c r="G1" s="6" t="s">
        <v>54</v>
      </c>
      <c r="H1" s="6" t="s">
        <v>73</v>
      </c>
      <c r="I1" s="6"/>
      <c r="J1" s="6"/>
    </row>
    <row r="2" spans="1:15" ht="25" x14ac:dyDescent="0.25">
      <c r="A2" s="7" t="s">
        <v>3</v>
      </c>
      <c r="B2" s="7">
        <v>-79.616667000000007</v>
      </c>
      <c r="C2" s="7">
        <v>42.538333000000002</v>
      </c>
      <c r="D2" s="7">
        <v>47</v>
      </c>
      <c r="E2" s="7" t="s">
        <v>40</v>
      </c>
      <c r="F2" s="6" t="s">
        <v>38</v>
      </c>
      <c r="G2" s="6"/>
      <c r="H2" s="6"/>
      <c r="I2" s="6"/>
      <c r="J2" s="6"/>
      <c r="K2" s="1"/>
      <c r="M2" s="3"/>
      <c r="N2" s="3"/>
      <c r="O2" s="3"/>
    </row>
    <row r="3" spans="1:15" ht="25" x14ac:dyDescent="0.25">
      <c r="A3" s="7" t="s">
        <v>4</v>
      </c>
      <c r="B3" s="7">
        <v>-79.691666999999995</v>
      </c>
      <c r="C3" s="7">
        <v>42.68</v>
      </c>
      <c r="D3" s="7">
        <v>32</v>
      </c>
      <c r="E3" s="7" t="s">
        <v>40</v>
      </c>
      <c r="F3" s="6" t="s">
        <v>38</v>
      </c>
      <c r="G3" s="6"/>
      <c r="H3" s="6"/>
      <c r="I3" s="6"/>
      <c r="J3" s="6"/>
      <c r="K3" s="1"/>
    </row>
    <row r="4" spans="1:15" s="4" customFormat="1" ht="27" x14ac:dyDescent="0.35">
      <c r="A4" s="8" t="s">
        <v>5</v>
      </c>
      <c r="B4" s="8">
        <v>-79.893332999999998</v>
      </c>
      <c r="C4" s="8">
        <v>42.516666999999998</v>
      </c>
      <c r="D4" s="8">
        <v>60</v>
      </c>
      <c r="E4" s="8" t="s">
        <v>40</v>
      </c>
      <c r="F4" s="8" t="s">
        <v>38</v>
      </c>
      <c r="G4" s="8"/>
      <c r="H4" s="8"/>
      <c r="I4" s="8"/>
      <c r="J4" s="8"/>
    </row>
    <row r="5" spans="1:15" ht="25" x14ac:dyDescent="0.25">
      <c r="A5" s="7" t="s">
        <v>6</v>
      </c>
      <c r="B5" s="7">
        <v>-81.204999999999998</v>
      </c>
      <c r="C5" s="7">
        <v>42.43</v>
      </c>
      <c r="D5" s="7">
        <v>21</v>
      </c>
      <c r="E5" s="7" t="s">
        <v>37</v>
      </c>
      <c r="F5" s="6" t="s">
        <v>38</v>
      </c>
      <c r="G5" s="6"/>
      <c r="H5" s="6"/>
      <c r="I5" s="6"/>
      <c r="J5" s="6"/>
      <c r="K5" s="1"/>
    </row>
    <row r="6" spans="1:15" s="4" customFormat="1" ht="27" x14ac:dyDescent="0.35">
      <c r="A6" s="8" t="s">
        <v>7</v>
      </c>
      <c r="B6" s="8">
        <v>-81.106667000000002</v>
      </c>
      <c r="C6" s="8">
        <v>42.253332999999998</v>
      </c>
      <c r="D6" s="8">
        <v>21</v>
      </c>
      <c r="E6" s="8" t="s">
        <v>37</v>
      </c>
      <c r="F6" s="8" t="s">
        <v>38</v>
      </c>
      <c r="G6" s="8"/>
      <c r="H6" s="8"/>
      <c r="I6" s="8"/>
      <c r="J6" s="8"/>
    </row>
    <row r="7" spans="1:15" ht="25" x14ac:dyDescent="0.25">
      <c r="A7" s="7" t="s">
        <v>8</v>
      </c>
      <c r="B7" s="7">
        <v>-81.011667000000003</v>
      </c>
      <c r="C7" s="7">
        <v>42.081667000000003</v>
      </c>
      <c r="D7" s="7">
        <v>22</v>
      </c>
      <c r="E7" s="7" t="s">
        <v>37</v>
      </c>
      <c r="F7" s="6" t="s">
        <v>38</v>
      </c>
      <c r="G7" s="6"/>
      <c r="H7" s="6"/>
      <c r="I7" s="6"/>
      <c r="J7" s="6"/>
      <c r="K7" s="1"/>
    </row>
    <row r="8" spans="1:15" ht="25" x14ac:dyDescent="0.25">
      <c r="A8" s="7" t="s">
        <v>9</v>
      </c>
      <c r="B8" s="7">
        <v>-81.478333000000006</v>
      </c>
      <c r="C8" s="7">
        <v>41.935000000000002</v>
      </c>
      <c r="D8" s="7">
        <v>23</v>
      </c>
      <c r="E8" s="7" t="s">
        <v>37</v>
      </c>
      <c r="F8" s="6" t="s">
        <v>38</v>
      </c>
      <c r="G8" s="6"/>
      <c r="H8" s="6"/>
      <c r="I8" s="6"/>
      <c r="J8" s="6"/>
      <c r="K8" s="1"/>
    </row>
    <row r="9" spans="1:15" s="4" customFormat="1" ht="27" x14ac:dyDescent="0.35">
      <c r="A9" s="8" t="s">
        <v>10</v>
      </c>
      <c r="B9" s="8">
        <v>-81.575000000000003</v>
      </c>
      <c r="C9" s="8">
        <v>42.11</v>
      </c>
      <c r="D9" s="8">
        <v>24</v>
      </c>
      <c r="E9" s="8" t="s">
        <v>37</v>
      </c>
      <c r="F9" s="8" t="s">
        <v>38</v>
      </c>
      <c r="G9" s="8"/>
      <c r="H9" s="8"/>
      <c r="I9" s="8"/>
      <c r="J9" s="8"/>
    </row>
    <row r="10" spans="1:15" ht="25" x14ac:dyDescent="0.25">
      <c r="A10" s="7" t="s">
        <v>11</v>
      </c>
      <c r="B10" s="7">
        <v>-81.671666999999999</v>
      </c>
      <c r="C10" s="7">
        <v>42.281666999999999</v>
      </c>
      <c r="D10" s="7">
        <v>22</v>
      </c>
      <c r="E10" s="7" t="s">
        <v>37</v>
      </c>
      <c r="F10" s="6" t="s">
        <v>38</v>
      </c>
      <c r="G10" s="6"/>
      <c r="H10" s="6"/>
      <c r="I10" s="6"/>
      <c r="J10" s="6"/>
      <c r="K10" s="1"/>
    </row>
    <row r="11" spans="1:15" ht="25" x14ac:dyDescent="0.25">
      <c r="A11" s="7" t="s">
        <v>12</v>
      </c>
      <c r="B11" s="7">
        <v>-82.041667000000004</v>
      </c>
      <c r="C11" s="7">
        <v>41.965000000000003</v>
      </c>
      <c r="D11" s="7">
        <v>22</v>
      </c>
      <c r="E11" s="7" t="s">
        <v>37</v>
      </c>
      <c r="F11" s="6" t="s">
        <v>38</v>
      </c>
      <c r="G11" s="6"/>
      <c r="H11" s="6"/>
      <c r="I11" s="6"/>
      <c r="J11" s="6"/>
      <c r="K11" s="1"/>
    </row>
    <row r="12" spans="1:15" s="4" customFormat="1" ht="27" x14ac:dyDescent="0.35">
      <c r="A12" s="8" t="s">
        <v>13</v>
      </c>
      <c r="B12" s="8">
        <v>-81.944999999999993</v>
      </c>
      <c r="C12" s="8">
        <v>41.788333000000002</v>
      </c>
      <c r="D12" s="8">
        <v>23</v>
      </c>
      <c r="E12" s="8" t="s">
        <v>37</v>
      </c>
      <c r="F12" s="8" t="s">
        <v>38</v>
      </c>
      <c r="G12" s="8"/>
      <c r="H12" s="8"/>
      <c r="I12" s="8"/>
      <c r="J12" s="8"/>
    </row>
    <row r="13" spans="1:15" ht="25" x14ac:dyDescent="0.25">
      <c r="A13" s="7" t="s">
        <v>14</v>
      </c>
      <c r="B13" s="7">
        <v>-82.933333000000005</v>
      </c>
      <c r="C13" s="7">
        <v>41.685000000000002</v>
      </c>
      <c r="D13" s="7">
        <v>11.5</v>
      </c>
      <c r="E13" s="7" t="s">
        <v>41</v>
      </c>
      <c r="F13" s="6" t="s">
        <v>38</v>
      </c>
      <c r="G13" s="6"/>
      <c r="H13" s="6"/>
      <c r="I13" s="6"/>
      <c r="J13" s="6"/>
    </row>
    <row r="14" spans="1:15" s="4" customFormat="1" ht="27" x14ac:dyDescent="0.35">
      <c r="A14" s="8" t="s">
        <v>15</v>
      </c>
      <c r="B14" s="8">
        <v>-83.15</v>
      </c>
      <c r="C14" s="8">
        <v>41.726666999999999</v>
      </c>
      <c r="D14" s="8">
        <v>10</v>
      </c>
      <c r="E14" s="8" t="s">
        <v>41</v>
      </c>
      <c r="F14" s="8" t="s">
        <v>38</v>
      </c>
      <c r="G14" s="8"/>
      <c r="H14" s="8"/>
      <c r="I14" s="8"/>
      <c r="J14" s="8"/>
    </row>
    <row r="15" spans="1:15" s="4" customFormat="1" ht="27" x14ac:dyDescent="0.35">
      <c r="A15" s="8" t="s">
        <v>16</v>
      </c>
      <c r="B15" s="8">
        <v>-83.196667000000005</v>
      </c>
      <c r="C15" s="8">
        <v>41.891666999999998</v>
      </c>
      <c r="D15" s="8">
        <v>9.5</v>
      </c>
      <c r="E15" s="8" t="s">
        <v>41</v>
      </c>
      <c r="F15" s="8" t="s">
        <v>38</v>
      </c>
      <c r="G15" s="8"/>
      <c r="H15" s="8"/>
      <c r="I15" s="8"/>
      <c r="J15" s="8"/>
    </row>
    <row r="16" spans="1:15" ht="25" x14ac:dyDescent="0.25">
      <c r="A16" s="7" t="s">
        <v>17</v>
      </c>
      <c r="B16" s="7">
        <v>-83.045000000000002</v>
      </c>
      <c r="C16" s="7">
        <v>41.946666999999998</v>
      </c>
      <c r="D16" s="7">
        <v>10</v>
      </c>
      <c r="E16" s="7" t="s">
        <v>41</v>
      </c>
      <c r="F16" s="6" t="s">
        <v>38</v>
      </c>
      <c r="G16" s="6"/>
      <c r="H16" s="6"/>
      <c r="I16" s="6"/>
      <c r="J16" s="6"/>
    </row>
    <row r="17" spans="1:10" ht="25" x14ac:dyDescent="0.25">
      <c r="A17" s="7" t="s">
        <v>18</v>
      </c>
      <c r="B17" s="7">
        <v>-79.8</v>
      </c>
      <c r="C17" s="7">
        <v>42.416666999999997</v>
      </c>
      <c r="D17" s="7">
        <v>45</v>
      </c>
      <c r="E17" s="7" t="s">
        <v>40</v>
      </c>
      <c r="F17" s="6" t="s">
        <v>38</v>
      </c>
      <c r="G17" s="6"/>
      <c r="H17" s="6"/>
      <c r="I17" s="6"/>
      <c r="J17" s="6"/>
    </row>
    <row r="18" spans="1:10" ht="25" x14ac:dyDescent="0.25">
      <c r="A18" s="7" t="s">
        <v>19</v>
      </c>
      <c r="B18" s="7">
        <v>-81.756944000000004</v>
      </c>
      <c r="C18" s="7">
        <v>41.977778000000001</v>
      </c>
      <c r="D18" s="7">
        <v>24</v>
      </c>
      <c r="E18" s="7" t="s">
        <v>37</v>
      </c>
      <c r="F18" s="6" t="s">
        <v>38</v>
      </c>
      <c r="G18" s="6"/>
      <c r="H18" s="6"/>
      <c r="I18" s="6"/>
      <c r="J18" s="6"/>
    </row>
    <row r="19" spans="1:10" ht="25" x14ac:dyDescent="0.25">
      <c r="A19" s="7" t="s">
        <v>20</v>
      </c>
      <c r="B19" s="7">
        <v>-81.25</v>
      </c>
      <c r="C19" s="7">
        <v>42.116667</v>
      </c>
      <c r="D19" s="7">
        <v>23</v>
      </c>
      <c r="E19" s="7" t="s">
        <v>37</v>
      </c>
      <c r="F19" s="6" t="s">
        <v>38</v>
      </c>
      <c r="G19" s="6"/>
      <c r="H19" s="6"/>
      <c r="I19" s="6"/>
      <c r="J19" s="6"/>
    </row>
    <row r="20" spans="1:10" s="4" customFormat="1" ht="27" x14ac:dyDescent="0.35">
      <c r="A20" s="8" t="s">
        <v>21</v>
      </c>
      <c r="B20" s="8">
        <v>-82.916667000000004</v>
      </c>
      <c r="C20" s="8">
        <v>41.840833000000003</v>
      </c>
      <c r="D20" s="8">
        <v>10.5</v>
      </c>
      <c r="E20" s="8" t="s">
        <v>41</v>
      </c>
      <c r="F20" s="8" t="s">
        <v>38</v>
      </c>
      <c r="G20" s="8"/>
      <c r="H20" s="8"/>
      <c r="I20" s="8"/>
      <c r="J20" s="8"/>
    </row>
    <row r="21" spans="1:10" ht="25" x14ac:dyDescent="0.25">
      <c r="A21" s="7" t="s">
        <v>22</v>
      </c>
      <c r="B21" s="7">
        <v>-82.686667</v>
      </c>
      <c r="C21" s="7">
        <v>41.95</v>
      </c>
      <c r="D21" s="7">
        <v>11</v>
      </c>
      <c r="E21" s="7" t="s">
        <v>41</v>
      </c>
      <c r="F21" s="6" t="s">
        <v>38</v>
      </c>
      <c r="G21" s="6"/>
      <c r="H21" s="6"/>
      <c r="I21" s="6"/>
      <c r="J21" s="6"/>
    </row>
    <row r="22" spans="1:10" ht="25" x14ac:dyDescent="0.25">
      <c r="A22" s="6"/>
      <c r="B22" s="6"/>
      <c r="C22" s="6"/>
      <c r="D22" s="6"/>
      <c r="E22" s="7"/>
      <c r="F22" s="6"/>
      <c r="G22" s="6"/>
      <c r="H22" s="6"/>
      <c r="I22" s="6"/>
      <c r="J22" s="6"/>
    </row>
    <row r="23" spans="1:10" s="4" customFormat="1" ht="27" x14ac:dyDescent="0.35">
      <c r="A23" s="8" t="s">
        <v>42</v>
      </c>
      <c r="B23" s="8">
        <v>-79.209166699999997</v>
      </c>
      <c r="C23" s="8">
        <v>42.791666666666664</v>
      </c>
      <c r="D23" s="8">
        <v>19.2</v>
      </c>
      <c r="E23" s="8" t="s">
        <v>55</v>
      </c>
      <c r="F23" s="8" t="s">
        <v>34</v>
      </c>
      <c r="G23" s="8" t="s">
        <v>23</v>
      </c>
      <c r="H23" s="8" t="s">
        <v>60</v>
      </c>
      <c r="I23" s="8"/>
      <c r="J23" s="8"/>
    </row>
    <row r="24" spans="1:10" s="4" customFormat="1" ht="27" x14ac:dyDescent="0.35">
      <c r="A24" s="8" t="s">
        <v>43</v>
      </c>
      <c r="B24" s="8">
        <v>-79.407499999999999</v>
      </c>
      <c r="C24" s="8">
        <v>42.474166666666669</v>
      </c>
      <c r="D24" s="8">
        <v>5.6</v>
      </c>
      <c r="E24" s="8" t="s">
        <v>56</v>
      </c>
      <c r="F24" s="8" t="s">
        <v>34</v>
      </c>
      <c r="G24" s="8" t="s">
        <v>24</v>
      </c>
      <c r="H24" s="8" t="s">
        <v>59</v>
      </c>
      <c r="I24" s="8"/>
      <c r="J24" s="8"/>
    </row>
    <row r="25" spans="1:10" s="4" customFormat="1" ht="27" x14ac:dyDescent="0.35">
      <c r="A25" s="8" t="s">
        <v>44</v>
      </c>
      <c r="B25" s="8">
        <v>-80.245333299999999</v>
      </c>
      <c r="C25" s="8">
        <v>42.715000000000003</v>
      </c>
      <c r="D25" s="8">
        <v>6.7</v>
      </c>
      <c r="E25" s="8" t="s">
        <v>55</v>
      </c>
      <c r="F25" s="8" t="s">
        <v>34</v>
      </c>
      <c r="G25" s="8" t="s">
        <v>25</v>
      </c>
      <c r="H25" s="8" t="s">
        <v>61</v>
      </c>
      <c r="I25" s="8"/>
      <c r="J25" s="8"/>
    </row>
    <row r="26" spans="1:10" s="4" customFormat="1" ht="27" x14ac:dyDescent="0.35">
      <c r="A26" s="8" t="s">
        <v>45</v>
      </c>
      <c r="B26" s="8">
        <v>-81.441666699999999</v>
      </c>
      <c r="C26" s="8">
        <v>42.475833333333334</v>
      </c>
      <c r="D26" s="8">
        <v>18.600000000000001</v>
      </c>
      <c r="E26" s="8" t="s">
        <v>57</v>
      </c>
      <c r="F26" s="8" t="s">
        <v>34</v>
      </c>
      <c r="G26" s="8" t="s">
        <v>26</v>
      </c>
      <c r="H26" s="8" t="s">
        <v>66</v>
      </c>
      <c r="I26" s="8"/>
      <c r="J26" s="8"/>
    </row>
    <row r="27" spans="1:10" s="4" customFormat="1" ht="27" x14ac:dyDescent="0.35">
      <c r="A27" s="8" t="s">
        <v>46</v>
      </c>
      <c r="B27" s="8">
        <v>-81.707833300000004</v>
      </c>
      <c r="C27" s="8">
        <v>41.524999999999999</v>
      </c>
      <c r="D27" s="8">
        <v>12.2</v>
      </c>
      <c r="E27" s="8" t="s">
        <v>58</v>
      </c>
      <c r="F27" s="8" t="s">
        <v>34</v>
      </c>
      <c r="G27" s="8" t="s">
        <v>27</v>
      </c>
      <c r="H27" s="8" t="s">
        <v>62</v>
      </c>
      <c r="I27" s="8"/>
      <c r="J27" s="8"/>
    </row>
    <row r="28" spans="1:10" s="4" customFormat="1" ht="27" x14ac:dyDescent="0.35">
      <c r="A28" s="8" t="s">
        <v>47</v>
      </c>
      <c r="B28" s="8">
        <v>-82.186666700000004</v>
      </c>
      <c r="C28" s="8">
        <v>42.190333333333335</v>
      </c>
      <c r="D28" s="8">
        <v>9.8000000000000007</v>
      </c>
      <c r="E28" s="8" t="s">
        <v>57</v>
      </c>
      <c r="F28" s="8" t="s">
        <v>34</v>
      </c>
      <c r="G28" s="8" t="s">
        <v>28</v>
      </c>
      <c r="H28" s="8" t="s">
        <v>63</v>
      </c>
      <c r="I28" s="8"/>
      <c r="J28" s="8"/>
    </row>
    <row r="29" spans="1:10" s="8" customFormat="1" ht="27" x14ac:dyDescent="0.35">
      <c r="A29" s="8" t="s">
        <v>48</v>
      </c>
      <c r="B29" s="8">
        <v>-80.666390000000007</v>
      </c>
      <c r="C29" s="8">
        <v>42</v>
      </c>
      <c r="D29" s="8">
        <v>17</v>
      </c>
      <c r="E29" s="8" t="s">
        <v>58</v>
      </c>
      <c r="F29" s="8" t="s">
        <v>34</v>
      </c>
      <c r="G29" s="8" t="s">
        <v>72</v>
      </c>
      <c r="H29" s="8" t="s">
        <v>64</v>
      </c>
    </row>
    <row r="30" spans="1:10" s="4" customFormat="1" ht="27" x14ac:dyDescent="0.35">
      <c r="A30" s="8" t="s">
        <v>49</v>
      </c>
      <c r="B30" s="8">
        <v>-82.182000000000002</v>
      </c>
      <c r="C30" s="8">
        <v>41.483833333333337</v>
      </c>
      <c r="D30" s="8">
        <v>10</v>
      </c>
      <c r="E30" s="8" t="s">
        <v>58</v>
      </c>
      <c r="F30" s="8" t="s">
        <v>34</v>
      </c>
      <c r="G30" s="8" t="s">
        <v>29</v>
      </c>
      <c r="H30" s="8" t="s">
        <v>65</v>
      </c>
      <c r="I30" s="8"/>
      <c r="J30" s="8"/>
    </row>
    <row r="31" spans="1:10" s="4" customFormat="1" ht="27" x14ac:dyDescent="0.35">
      <c r="A31" s="8" t="s">
        <v>50</v>
      </c>
      <c r="B31" s="8">
        <v>-82.625</v>
      </c>
      <c r="C31" s="8">
        <v>41.983333333333334</v>
      </c>
      <c r="D31" s="8">
        <v>8.6</v>
      </c>
      <c r="E31" s="8" t="s">
        <v>67</v>
      </c>
      <c r="F31" s="8" t="s">
        <v>34</v>
      </c>
      <c r="G31" s="8" t="s">
        <v>30</v>
      </c>
      <c r="H31" s="8" t="s">
        <v>68</v>
      </c>
      <c r="I31" s="8"/>
      <c r="J31" s="8"/>
    </row>
    <row r="32" spans="1:10" ht="27" x14ac:dyDescent="0.35">
      <c r="A32" s="9" t="s">
        <v>51</v>
      </c>
      <c r="B32" s="7">
        <v>-82.45</v>
      </c>
      <c r="C32" s="7">
        <v>41.994999999999997</v>
      </c>
      <c r="D32" s="7">
        <v>11.8</v>
      </c>
      <c r="E32" s="6" t="s">
        <v>57</v>
      </c>
      <c r="F32" s="6" t="s">
        <v>34</v>
      </c>
      <c r="G32" s="7" t="s">
        <v>31</v>
      </c>
      <c r="H32" s="6" t="s">
        <v>69</v>
      </c>
      <c r="I32" s="6"/>
      <c r="J32" s="6"/>
    </row>
    <row r="33" spans="1:10" s="4" customFormat="1" ht="27" x14ac:dyDescent="0.35">
      <c r="A33" s="8" t="s">
        <v>52</v>
      </c>
      <c r="B33" s="8">
        <v>-80.156666700000002</v>
      </c>
      <c r="C33" s="8">
        <v>42.181666666666665</v>
      </c>
      <c r="D33" s="8">
        <v>15.2</v>
      </c>
      <c r="E33" s="8" t="s">
        <v>56</v>
      </c>
      <c r="F33" s="8" t="s">
        <v>34</v>
      </c>
      <c r="G33" s="8" t="s">
        <v>32</v>
      </c>
      <c r="H33" s="8" t="s">
        <v>70</v>
      </c>
      <c r="I33" s="8"/>
      <c r="J33" s="8"/>
    </row>
    <row r="34" spans="1:10" s="4" customFormat="1" ht="27" x14ac:dyDescent="0.35">
      <c r="A34" s="8" t="s">
        <v>53</v>
      </c>
      <c r="B34" s="8">
        <v>-80.875</v>
      </c>
      <c r="C34" s="8">
        <v>42.633333333333333</v>
      </c>
      <c r="D34" s="8">
        <v>10.1</v>
      </c>
      <c r="E34" s="8" t="s">
        <v>57</v>
      </c>
      <c r="F34" s="8" t="s">
        <v>34</v>
      </c>
      <c r="G34" s="8" t="s">
        <v>33</v>
      </c>
      <c r="H34" s="8" t="s">
        <v>71</v>
      </c>
      <c r="I34" s="8"/>
      <c r="J3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96592-5E3B-E347-88FD-1B7362406BFF}">
  <sheetPr codeName="Sheet2"/>
  <dimension ref="A1:M20"/>
  <sheetViews>
    <sheetView tabSelected="1" workbookViewId="0">
      <selection activeCell="E7" sqref="E7"/>
    </sheetView>
  </sheetViews>
  <sheetFormatPr baseColWidth="10" defaultRowHeight="16" x14ac:dyDescent="0.2"/>
  <cols>
    <col min="1" max="1" width="17.83203125" bestFit="1" customWidth="1"/>
    <col min="2" max="2" width="21.1640625" bestFit="1" customWidth="1"/>
    <col min="3" max="3" width="20" bestFit="1" customWidth="1"/>
    <col min="4" max="4" width="19" bestFit="1" customWidth="1"/>
    <col min="5" max="5" width="10.5" bestFit="1" customWidth="1"/>
    <col min="6" max="6" width="17.1640625" bestFit="1" customWidth="1"/>
    <col min="7" max="7" width="22.6640625" bestFit="1" customWidth="1"/>
    <col min="8" max="8" width="27.6640625" bestFit="1" customWidth="1"/>
    <col min="9" max="9" width="22.1640625" customWidth="1"/>
    <col min="10" max="10" width="30.33203125" bestFit="1" customWidth="1"/>
    <col min="11" max="11" width="25" bestFit="1" customWidth="1"/>
    <col min="12" max="12" width="22.1640625" bestFit="1" customWidth="1"/>
    <col min="13" max="13" width="17.5" bestFit="1" customWidth="1"/>
  </cols>
  <sheetData>
    <row r="1" spans="1:13" ht="25" x14ac:dyDescent="0.25">
      <c r="A1" s="5" t="s">
        <v>0</v>
      </c>
      <c r="B1" s="5" t="s">
        <v>1</v>
      </c>
      <c r="C1" s="5" t="s">
        <v>2</v>
      </c>
      <c r="D1" s="5" t="s">
        <v>39</v>
      </c>
      <c r="E1" s="5" t="s">
        <v>36</v>
      </c>
      <c r="F1" s="6" t="s">
        <v>35</v>
      </c>
      <c r="G1" s="6" t="s">
        <v>54</v>
      </c>
      <c r="H1" s="6" t="s">
        <v>73</v>
      </c>
      <c r="I1" s="6" t="s">
        <v>74</v>
      </c>
      <c r="J1" s="6" t="s">
        <v>75</v>
      </c>
      <c r="K1" s="6" t="s">
        <v>76</v>
      </c>
      <c r="L1" s="6" t="s">
        <v>77</v>
      </c>
      <c r="M1" s="6" t="s">
        <v>78</v>
      </c>
    </row>
    <row r="2" spans="1:13" ht="27" x14ac:dyDescent="0.35">
      <c r="A2" s="8" t="s">
        <v>5</v>
      </c>
      <c r="B2" s="8">
        <v>-79.893332999999998</v>
      </c>
      <c r="C2" s="8">
        <v>42.516666999999998</v>
      </c>
      <c r="D2" s="8">
        <v>60</v>
      </c>
      <c r="E2" s="8" t="s">
        <v>40</v>
      </c>
      <c r="F2" s="8" t="s">
        <v>38</v>
      </c>
      <c r="I2">
        <f>IF(D2&gt;30,3,IF(D2&gt;15,2,1))</f>
        <v>3</v>
      </c>
      <c r="J2">
        <f>I2*4</f>
        <v>12</v>
      </c>
      <c r="K2">
        <f>I2*4</f>
        <v>12</v>
      </c>
      <c r="L2">
        <f>I2*2</f>
        <v>6</v>
      </c>
      <c r="M2">
        <f>J2+K2+L2+I2*4</f>
        <v>42</v>
      </c>
    </row>
    <row r="3" spans="1:13" ht="27" x14ac:dyDescent="0.35">
      <c r="A3" s="8" t="s">
        <v>7</v>
      </c>
      <c r="B3" s="8">
        <v>-81.106667000000002</v>
      </c>
      <c r="C3" s="8">
        <v>42.253332999999998</v>
      </c>
      <c r="D3" s="8">
        <v>21</v>
      </c>
      <c r="E3" s="8" t="s">
        <v>37</v>
      </c>
      <c r="F3" s="8" t="s">
        <v>38</v>
      </c>
      <c r="I3">
        <f t="shared" ref="I3:I19" si="0">IF(D3&gt;30,3,IF(D3&gt;15,2,1))</f>
        <v>2</v>
      </c>
      <c r="J3">
        <f t="shared" ref="J3:J19" si="1">I3*4</f>
        <v>8</v>
      </c>
      <c r="K3">
        <f t="shared" ref="K3:K19" si="2">I3*4</f>
        <v>8</v>
      </c>
      <c r="L3">
        <f t="shared" ref="L3:L19" si="3">I3*2</f>
        <v>4</v>
      </c>
      <c r="M3">
        <f t="shared" ref="M3:M19" si="4">J3+K3+L3+I3*4</f>
        <v>28</v>
      </c>
    </row>
    <row r="4" spans="1:13" ht="27" x14ac:dyDescent="0.35">
      <c r="A4" s="8" t="s">
        <v>10</v>
      </c>
      <c r="B4" s="8">
        <v>-81.575000000000003</v>
      </c>
      <c r="C4" s="8">
        <v>42.11</v>
      </c>
      <c r="D4" s="8">
        <v>24</v>
      </c>
      <c r="E4" s="8" t="s">
        <v>37</v>
      </c>
      <c r="F4" s="8" t="s">
        <v>38</v>
      </c>
      <c r="I4">
        <f t="shared" si="0"/>
        <v>2</v>
      </c>
      <c r="J4">
        <f t="shared" si="1"/>
        <v>8</v>
      </c>
      <c r="K4">
        <f t="shared" si="2"/>
        <v>8</v>
      </c>
      <c r="L4">
        <f t="shared" si="3"/>
        <v>4</v>
      </c>
      <c r="M4">
        <f t="shared" si="4"/>
        <v>28</v>
      </c>
    </row>
    <row r="5" spans="1:13" ht="27" x14ac:dyDescent="0.35">
      <c r="A5" s="8" t="s">
        <v>13</v>
      </c>
      <c r="B5" s="8">
        <v>-81.944999999999993</v>
      </c>
      <c r="C5" s="8">
        <v>41.788333000000002</v>
      </c>
      <c r="D5" s="8">
        <v>23</v>
      </c>
      <c r="E5" s="8" t="s">
        <v>37</v>
      </c>
      <c r="F5" s="8" t="s">
        <v>38</v>
      </c>
      <c r="I5">
        <f t="shared" si="0"/>
        <v>2</v>
      </c>
      <c r="J5">
        <f t="shared" si="1"/>
        <v>8</v>
      </c>
      <c r="K5">
        <f t="shared" si="2"/>
        <v>8</v>
      </c>
      <c r="L5">
        <f t="shared" si="3"/>
        <v>4</v>
      </c>
      <c r="M5">
        <f t="shared" si="4"/>
        <v>28</v>
      </c>
    </row>
    <row r="6" spans="1:13" ht="27" x14ac:dyDescent="0.35">
      <c r="A6" s="8" t="s">
        <v>15</v>
      </c>
      <c r="B6" s="8">
        <v>-83.15</v>
      </c>
      <c r="C6" s="8">
        <v>41.726666999999999</v>
      </c>
      <c r="D6" s="8">
        <v>10</v>
      </c>
      <c r="E6" s="8" t="s">
        <v>41</v>
      </c>
      <c r="F6" s="8" t="s">
        <v>38</v>
      </c>
      <c r="I6">
        <f t="shared" si="0"/>
        <v>1</v>
      </c>
      <c r="J6">
        <f t="shared" si="1"/>
        <v>4</v>
      </c>
      <c r="K6">
        <f t="shared" si="2"/>
        <v>4</v>
      </c>
      <c r="L6">
        <f t="shared" si="3"/>
        <v>2</v>
      </c>
      <c r="M6">
        <f t="shared" si="4"/>
        <v>14</v>
      </c>
    </row>
    <row r="7" spans="1:13" ht="27" x14ac:dyDescent="0.35">
      <c r="A7" s="8" t="s">
        <v>16</v>
      </c>
      <c r="B7" s="8">
        <v>-83.196667000000005</v>
      </c>
      <c r="C7" s="8">
        <v>41.891666999999998</v>
      </c>
      <c r="D7" s="8">
        <v>9.5</v>
      </c>
      <c r="E7" s="8" t="s">
        <v>41</v>
      </c>
      <c r="F7" s="8" t="s">
        <v>38</v>
      </c>
      <c r="I7">
        <f t="shared" si="0"/>
        <v>1</v>
      </c>
      <c r="J7">
        <f t="shared" si="1"/>
        <v>4</v>
      </c>
      <c r="K7">
        <f t="shared" si="2"/>
        <v>4</v>
      </c>
      <c r="L7">
        <f t="shared" si="3"/>
        <v>2</v>
      </c>
      <c r="M7">
        <f t="shared" si="4"/>
        <v>14</v>
      </c>
    </row>
    <row r="8" spans="1:13" ht="27" x14ac:dyDescent="0.35">
      <c r="A8" s="8" t="s">
        <v>21</v>
      </c>
      <c r="B8" s="8">
        <v>-82.916667000000004</v>
      </c>
      <c r="C8" s="8">
        <v>41.840833000000003</v>
      </c>
      <c r="D8" s="8">
        <v>10.5</v>
      </c>
      <c r="E8" s="8" t="s">
        <v>41</v>
      </c>
      <c r="F8" s="8" t="s">
        <v>38</v>
      </c>
      <c r="I8">
        <f t="shared" si="0"/>
        <v>1</v>
      </c>
      <c r="J8">
        <f t="shared" si="1"/>
        <v>4</v>
      </c>
      <c r="K8">
        <f t="shared" si="2"/>
        <v>4</v>
      </c>
      <c r="L8">
        <f t="shared" si="3"/>
        <v>2</v>
      </c>
      <c r="M8">
        <f t="shared" si="4"/>
        <v>14</v>
      </c>
    </row>
    <row r="9" spans="1:13" ht="27" x14ac:dyDescent="0.35">
      <c r="A9" s="8" t="s">
        <v>42</v>
      </c>
      <c r="B9" s="8">
        <v>-79.209166699999997</v>
      </c>
      <c r="C9" s="8">
        <v>42.791666666666664</v>
      </c>
      <c r="D9" s="8">
        <v>19.2</v>
      </c>
      <c r="E9" s="8" t="s">
        <v>55</v>
      </c>
      <c r="F9" s="8" t="s">
        <v>34</v>
      </c>
      <c r="G9" s="8" t="s">
        <v>23</v>
      </c>
      <c r="H9" s="8" t="s">
        <v>60</v>
      </c>
      <c r="I9">
        <f t="shared" si="0"/>
        <v>2</v>
      </c>
      <c r="J9">
        <f t="shared" si="1"/>
        <v>8</v>
      </c>
      <c r="K9">
        <f t="shared" si="2"/>
        <v>8</v>
      </c>
      <c r="L9">
        <f t="shared" si="3"/>
        <v>4</v>
      </c>
      <c r="M9">
        <f t="shared" si="4"/>
        <v>28</v>
      </c>
    </row>
    <row r="10" spans="1:13" ht="27" x14ac:dyDescent="0.35">
      <c r="A10" s="8" t="s">
        <v>43</v>
      </c>
      <c r="B10" s="8">
        <v>-79.407499999999999</v>
      </c>
      <c r="C10" s="8">
        <v>42.474166666666669</v>
      </c>
      <c r="D10" s="8">
        <v>5.6</v>
      </c>
      <c r="E10" s="8" t="s">
        <v>56</v>
      </c>
      <c r="F10" s="8" t="s">
        <v>34</v>
      </c>
      <c r="G10" s="8" t="s">
        <v>24</v>
      </c>
      <c r="H10" s="8" t="s">
        <v>59</v>
      </c>
      <c r="I10">
        <f t="shared" si="0"/>
        <v>1</v>
      </c>
      <c r="J10">
        <f t="shared" si="1"/>
        <v>4</v>
      </c>
      <c r="K10">
        <f t="shared" si="2"/>
        <v>4</v>
      </c>
      <c r="L10">
        <f t="shared" si="3"/>
        <v>2</v>
      </c>
      <c r="M10">
        <f t="shared" si="4"/>
        <v>14</v>
      </c>
    </row>
    <row r="11" spans="1:13" ht="27" x14ac:dyDescent="0.35">
      <c r="A11" s="8" t="s">
        <v>44</v>
      </c>
      <c r="B11" s="8">
        <v>-80.245333299999999</v>
      </c>
      <c r="C11" s="8">
        <v>42.715000000000003</v>
      </c>
      <c r="D11" s="8">
        <v>6.7</v>
      </c>
      <c r="E11" s="8" t="s">
        <v>55</v>
      </c>
      <c r="F11" s="8" t="s">
        <v>34</v>
      </c>
      <c r="G11" s="8" t="s">
        <v>25</v>
      </c>
      <c r="H11" s="8" t="s">
        <v>61</v>
      </c>
      <c r="I11">
        <f t="shared" si="0"/>
        <v>1</v>
      </c>
      <c r="J11">
        <f t="shared" si="1"/>
        <v>4</v>
      </c>
      <c r="K11">
        <f t="shared" si="2"/>
        <v>4</v>
      </c>
      <c r="L11">
        <f t="shared" si="3"/>
        <v>2</v>
      </c>
      <c r="M11">
        <f t="shared" si="4"/>
        <v>14</v>
      </c>
    </row>
    <row r="12" spans="1:13" ht="27" x14ac:dyDescent="0.35">
      <c r="A12" s="8" t="s">
        <v>45</v>
      </c>
      <c r="B12" s="8">
        <v>-81.441666699999999</v>
      </c>
      <c r="C12" s="8">
        <v>42.475833333333334</v>
      </c>
      <c r="D12" s="8">
        <v>18.600000000000001</v>
      </c>
      <c r="E12" s="8" t="s">
        <v>57</v>
      </c>
      <c r="F12" s="8" t="s">
        <v>34</v>
      </c>
      <c r="G12" s="8" t="s">
        <v>26</v>
      </c>
      <c r="H12" s="8" t="s">
        <v>66</v>
      </c>
      <c r="I12">
        <f t="shared" si="0"/>
        <v>2</v>
      </c>
      <c r="J12">
        <f t="shared" si="1"/>
        <v>8</v>
      </c>
      <c r="K12">
        <f t="shared" si="2"/>
        <v>8</v>
      </c>
      <c r="L12">
        <f t="shared" si="3"/>
        <v>4</v>
      </c>
      <c r="M12">
        <f t="shared" si="4"/>
        <v>28</v>
      </c>
    </row>
    <row r="13" spans="1:13" ht="27" x14ac:dyDescent="0.35">
      <c r="A13" s="8" t="s">
        <v>46</v>
      </c>
      <c r="B13" s="8">
        <v>-81.707833300000004</v>
      </c>
      <c r="C13" s="8">
        <v>41.524999999999999</v>
      </c>
      <c r="D13" s="8">
        <v>12.2</v>
      </c>
      <c r="E13" s="8" t="s">
        <v>58</v>
      </c>
      <c r="F13" s="8" t="s">
        <v>34</v>
      </c>
      <c r="G13" s="8" t="s">
        <v>27</v>
      </c>
      <c r="H13" s="8" t="s">
        <v>62</v>
      </c>
      <c r="I13">
        <f t="shared" si="0"/>
        <v>1</v>
      </c>
      <c r="J13">
        <f t="shared" si="1"/>
        <v>4</v>
      </c>
      <c r="K13">
        <f t="shared" si="2"/>
        <v>4</v>
      </c>
      <c r="L13">
        <f t="shared" si="3"/>
        <v>2</v>
      </c>
      <c r="M13">
        <f t="shared" si="4"/>
        <v>14</v>
      </c>
    </row>
    <row r="14" spans="1:13" ht="27" x14ac:dyDescent="0.35">
      <c r="A14" s="8" t="s">
        <v>47</v>
      </c>
      <c r="B14" s="8">
        <v>-82.186666700000004</v>
      </c>
      <c r="C14" s="8">
        <v>42.190333333333335</v>
      </c>
      <c r="D14" s="8">
        <v>9.8000000000000007</v>
      </c>
      <c r="E14" s="8" t="s">
        <v>57</v>
      </c>
      <c r="F14" s="8" t="s">
        <v>34</v>
      </c>
      <c r="G14" s="8" t="s">
        <v>28</v>
      </c>
      <c r="H14" s="8" t="s">
        <v>63</v>
      </c>
      <c r="I14">
        <f t="shared" si="0"/>
        <v>1</v>
      </c>
      <c r="J14">
        <f t="shared" si="1"/>
        <v>4</v>
      </c>
      <c r="K14">
        <f t="shared" si="2"/>
        <v>4</v>
      </c>
      <c r="L14">
        <f t="shared" si="3"/>
        <v>2</v>
      </c>
      <c r="M14">
        <f t="shared" si="4"/>
        <v>14</v>
      </c>
    </row>
    <row r="15" spans="1:13" ht="27" x14ac:dyDescent="0.35">
      <c r="A15" s="8" t="s">
        <v>48</v>
      </c>
      <c r="B15" s="8">
        <v>-80.666390000000007</v>
      </c>
      <c r="C15" s="8">
        <v>42</v>
      </c>
      <c r="D15" s="8">
        <v>17</v>
      </c>
      <c r="E15" s="8" t="s">
        <v>58</v>
      </c>
      <c r="F15" s="8" t="s">
        <v>34</v>
      </c>
      <c r="G15" s="8" t="s">
        <v>72</v>
      </c>
      <c r="H15" s="8" t="s">
        <v>64</v>
      </c>
      <c r="I15">
        <f t="shared" si="0"/>
        <v>2</v>
      </c>
      <c r="J15">
        <f t="shared" si="1"/>
        <v>8</v>
      </c>
      <c r="K15">
        <f t="shared" si="2"/>
        <v>8</v>
      </c>
      <c r="L15">
        <f t="shared" si="3"/>
        <v>4</v>
      </c>
      <c r="M15">
        <f t="shared" si="4"/>
        <v>28</v>
      </c>
    </row>
    <row r="16" spans="1:13" ht="27" x14ac:dyDescent="0.35">
      <c r="A16" s="8" t="s">
        <v>49</v>
      </c>
      <c r="B16" s="8">
        <v>-82.182000000000002</v>
      </c>
      <c r="C16" s="8">
        <v>41.483833333333337</v>
      </c>
      <c r="D16" s="8">
        <v>10</v>
      </c>
      <c r="E16" s="8" t="s">
        <v>58</v>
      </c>
      <c r="F16" s="8" t="s">
        <v>34</v>
      </c>
      <c r="G16" s="8" t="s">
        <v>29</v>
      </c>
      <c r="H16" s="8" t="s">
        <v>65</v>
      </c>
      <c r="I16">
        <f t="shared" si="0"/>
        <v>1</v>
      </c>
      <c r="J16">
        <f t="shared" si="1"/>
        <v>4</v>
      </c>
      <c r="K16">
        <f t="shared" si="2"/>
        <v>4</v>
      </c>
      <c r="L16">
        <f t="shared" si="3"/>
        <v>2</v>
      </c>
      <c r="M16">
        <f t="shared" si="4"/>
        <v>14</v>
      </c>
    </row>
    <row r="17" spans="1:13" ht="27" x14ac:dyDescent="0.35">
      <c r="A17" s="8" t="s">
        <v>50</v>
      </c>
      <c r="B17" s="8">
        <v>-82.625</v>
      </c>
      <c r="C17" s="8">
        <v>41.983333333333334</v>
      </c>
      <c r="D17" s="8">
        <v>8.6</v>
      </c>
      <c r="E17" s="8" t="s">
        <v>67</v>
      </c>
      <c r="F17" s="8" t="s">
        <v>34</v>
      </c>
      <c r="G17" s="8" t="s">
        <v>30</v>
      </c>
      <c r="H17" s="8" t="s">
        <v>68</v>
      </c>
      <c r="I17">
        <f t="shared" si="0"/>
        <v>1</v>
      </c>
      <c r="J17">
        <f t="shared" si="1"/>
        <v>4</v>
      </c>
      <c r="K17">
        <f t="shared" si="2"/>
        <v>4</v>
      </c>
      <c r="L17">
        <f t="shared" si="3"/>
        <v>2</v>
      </c>
      <c r="M17">
        <f t="shared" si="4"/>
        <v>14</v>
      </c>
    </row>
    <row r="18" spans="1:13" ht="27" x14ac:dyDescent="0.35">
      <c r="A18" s="8" t="s">
        <v>52</v>
      </c>
      <c r="B18" s="8">
        <v>-80.156666700000002</v>
      </c>
      <c r="C18" s="8">
        <v>42.181666666666665</v>
      </c>
      <c r="D18" s="8">
        <v>15.2</v>
      </c>
      <c r="E18" s="8" t="s">
        <v>56</v>
      </c>
      <c r="F18" s="8" t="s">
        <v>34</v>
      </c>
      <c r="G18" s="8" t="s">
        <v>32</v>
      </c>
      <c r="H18" s="8" t="s">
        <v>70</v>
      </c>
      <c r="I18">
        <f t="shared" si="0"/>
        <v>2</v>
      </c>
      <c r="J18">
        <f t="shared" si="1"/>
        <v>8</v>
      </c>
      <c r="K18">
        <f t="shared" si="2"/>
        <v>8</v>
      </c>
      <c r="L18">
        <f t="shared" si="3"/>
        <v>4</v>
      </c>
      <c r="M18">
        <f t="shared" si="4"/>
        <v>28</v>
      </c>
    </row>
    <row r="19" spans="1:13" ht="27" x14ac:dyDescent="0.35">
      <c r="A19" s="8" t="s">
        <v>53</v>
      </c>
      <c r="B19" s="8">
        <v>-80.875</v>
      </c>
      <c r="C19" s="8">
        <v>42.633333333333333</v>
      </c>
      <c r="D19" s="8">
        <v>10.1</v>
      </c>
      <c r="E19" s="8" t="s">
        <v>57</v>
      </c>
      <c r="F19" s="8" t="s">
        <v>34</v>
      </c>
      <c r="G19" s="8" t="s">
        <v>33</v>
      </c>
      <c r="H19" s="8" t="s">
        <v>71</v>
      </c>
      <c r="I19">
        <f t="shared" si="0"/>
        <v>1</v>
      </c>
      <c r="J19">
        <f t="shared" si="1"/>
        <v>4</v>
      </c>
      <c r="K19">
        <f t="shared" si="2"/>
        <v>4</v>
      </c>
      <c r="L19">
        <f t="shared" si="3"/>
        <v>2</v>
      </c>
      <c r="M19">
        <f t="shared" si="4"/>
        <v>14</v>
      </c>
    </row>
    <row r="20" spans="1:13" x14ac:dyDescent="0.2">
      <c r="J20">
        <f>SUM(J2:J19)</f>
        <v>108</v>
      </c>
      <c r="K20">
        <f t="shared" ref="K20:M20" si="5">SUM(K2:K19)</f>
        <v>108</v>
      </c>
      <c r="L20">
        <f t="shared" si="5"/>
        <v>54</v>
      </c>
      <c r="M20">
        <f t="shared" si="5"/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Augustus Raymond Pendleton</cp:lastModifiedBy>
  <dcterms:created xsi:type="dcterms:W3CDTF">2024-03-22T16:17:17Z</dcterms:created>
  <dcterms:modified xsi:type="dcterms:W3CDTF">2024-05-01T15:00:41Z</dcterms:modified>
</cp:coreProperties>
</file>
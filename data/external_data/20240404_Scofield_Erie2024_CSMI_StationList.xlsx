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uspendleton/Local_Desktop/AAM_ERI_2024/data/external_data/"/>
    </mc:Choice>
  </mc:AlternateContent>
  <xr:revisionPtr revIDLastSave="0" documentId="13_ncr:1_{76344813-38DD-724C-B84B-9C980F419B73}" xr6:coauthVersionLast="47" xr6:coauthVersionMax="47" xr10:uidLastSave="{00000000-0000-0000-0000-000000000000}"/>
  <bookViews>
    <workbookView xWindow="0" yWindow="500" windowWidth="28800" windowHeight="15940" xr2:uid="{8A928C3B-5765-42DE-BBC5-7C523929C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M3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</calcChain>
</file>

<file path=xl/sharedStrings.xml><?xml version="1.0" encoding="utf-8"?>
<sst xmlns="http://schemas.openxmlformats.org/spreadsheetml/2006/main" count="389" uniqueCount="77">
  <si>
    <t>Lake</t>
  </si>
  <si>
    <t>Basin</t>
  </si>
  <si>
    <t>Agency/Group</t>
  </si>
  <si>
    <t>StationID</t>
  </si>
  <si>
    <t>Depth_m</t>
  </si>
  <si>
    <t>lattDD_target</t>
  </si>
  <si>
    <t>LonDD_target</t>
  </si>
  <si>
    <t>Notes - station equivalents, etc.?</t>
  </si>
  <si>
    <t>Month(s)</t>
  </si>
  <si>
    <t>Vessel(s) description</t>
  </si>
  <si>
    <t>Erie</t>
  </si>
  <si>
    <t>W</t>
  </si>
  <si>
    <t>ER 58</t>
  </si>
  <si>
    <t>ER 59</t>
  </si>
  <si>
    <t>ER 60</t>
  </si>
  <si>
    <t>ER 61</t>
  </si>
  <si>
    <t>ER 91M</t>
  </si>
  <si>
    <t>ER 92</t>
  </si>
  <si>
    <t>C</t>
  </si>
  <si>
    <t>ER 30</t>
  </si>
  <si>
    <t>ER 31</t>
  </si>
  <si>
    <t>ER 32</t>
  </si>
  <si>
    <t>ER 36</t>
  </si>
  <si>
    <t>ER 37</t>
  </si>
  <si>
    <t>ER 38</t>
  </si>
  <si>
    <t>ER 42</t>
  </si>
  <si>
    <t>ER 43</t>
  </si>
  <si>
    <t>ER 73</t>
  </si>
  <si>
    <t>ER 78M</t>
  </si>
  <si>
    <t>E</t>
  </si>
  <si>
    <t>ER 09</t>
  </si>
  <si>
    <t>ER 10</t>
  </si>
  <si>
    <t>ER 15M</t>
  </si>
  <si>
    <t>ER 63</t>
  </si>
  <si>
    <t>ECS ER 932n</t>
  </si>
  <si>
    <t>ECS ER 936n</t>
  </si>
  <si>
    <t>ECS ER 937n</t>
  </si>
  <si>
    <t>ECS ER 951n</t>
  </si>
  <si>
    <t>ECS ER 958n</t>
  </si>
  <si>
    <t>ECS ER 959n</t>
  </si>
  <si>
    <t>ECS ER 95B</t>
  </si>
  <si>
    <t>ECS ER 964n</t>
  </si>
  <si>
    <t>ECS ER 966n</t>
  </si>
  <si>
    <t>ECS ER G09n</t>
  </si>
  <si>
    <t>ECS ER I28n</t>
  </si>
  <si>
    <t>ECS ER N22n</t>
  </si>
  <si>
    <t>EPA  &amp; Cornell</t>
  </si>
  <si>
    <t>April/Aug phyto by UMD-NRRI</t>
  </si>
  <si>
    <t>Lake Guardian (Apr, May, Aug, Sep) &amp; LEII (Jul)</t>
  </si>
  <si>
    <t>April (LTM), May (CSMI), July (CSMI), August (LTM), Sept (CSMI)</t>
  </si>
  <si>
    <t>Map_Color</t>
  </si>
  <si>
    <t>No</t>
  </si>
  <si>
    <t>One</t>
  </si>
  <si>
    <t>Two</t>
  </si>
  <si>
    <t>Master</t>
  </si>
  <si>
    <t>Map_Color_Summer</t>
  </si>
  <si>
    <t>Lucky</t>
  </si>
  <si>
    <t>High</t>
  </si>
  <si>
    <t>Required</t>
  </si>
  <si>
    <t>None</t>
  </si>
  <si>
    <t>Conditional</t>
  </si>
  <si>
    <t>Shallow</t>
  </si>
  <si>
    <t>Our_Station_ID</t>
  </si>
  <si>
    <t>Map_Color_Fall</t>
  </si>
  <si>
    <t>G09</t>
  </si>
  <si>
    <t>Deep</t>
  </si>
  <si>
    <t>EPA &amp; Cornell</t>
  </si>
  <si>
    <t>EB06</t>
  </si>
  <si>
    <t>Map_Color_Overall</t>
  </si>
  <si>
    <t>Visit_Times</t>
  </si>
  <si>
    <t>Sep</t>
  </si>
  <si>
    <t>May, Aug, Sep</t>
  </si>
  <si>
    <t>Aug, Sep</t>
  </si>
  <si>
    <t>Aug</t>
  </si>
  <si>
    <t>May, Sep</t>
  </si>
  <si>
    <t>Deep_Collected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</si>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</sst>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16FD-8EB4-49B7-9D1A-7FFE77FBA305}">
  <dimension ref="A1:Q42"/>
  <sheetViews>
    <sheetView tabSelected="1" zoomScaleNormal="100" workbookViewId="0">
      <selection activeCell="K25" sqref="K25"/>
    </sheetView>
  </sheetViews>
  <sheetFormatPr baseColWidth="10" defaultColWidth="8.83203125" defaultRowHeight="15" x14ac:dyDescent="0.2"/>
  <cols>
    <col min="2" max="2" width="5.33203125" bestFit="1" customWidth="1"/>
    <col min="3" max="3" width="12.83203125" bestFit="1" customWidth="1"/>
    <col min="4" max="4" width="11.1640625" bestFit="1" customWidth="1"/>
    <col min="5" max="5" width="25.1640625" bestFit="1" customWidth="1"/>
    <col min="6" max="6" width="18.1640625" customWidth="1"/>
    <col min="8" max="8" width="16.5" customWidth="1"/>
    <col min="9" max="10" width="12.1640625" customWidth="1"/>
    <col min="11" max="11" width="19.83203125" customWidth="1"/>
    <col min="12" max="12" width="12.5" bestFit="1" customWidth="1"/>
    <col min="13" max="13" width="28.1640625" bestFit="1" customWidth="1"/>
    <col min="14" max="14" width="54" bestFit="1" customWidth="1"/>
    <col min="15" max="15" width="39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50</v>
      </c>
      <c r="G1" t="s">
        <v>55</v>
      </c>
      <c r="H1" t="s">
        <v>63</v>
      </c>
      <c r="I1" t="s">
        <v>68</v>
      </c>
      <c r="J1" t="s">
        <v>75</v>
      </c>
      <c r="K1" t="s">
        <v>69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">
      <c r="A2" t="s">
        <v>10</v>
      </c>
      <c r="B2" t="s">
        <v>11</v>
      </c>
      <c r="C2" t="s">
        <v>46</v>
      </c>
      <c r="D2" t="s">
        <v>12</v>
      </c>
      <c r="E2">
        <v>58</v>
      </c>
      <c r="F2" t="s">
        <v>51</v>
      </c>
      <c r="G2" t="s">
        <v>56</v>
      </c>
      <c r="H2" t="s">
        <v>61</v>
      </c>
      <c r="I2" t="str">
        <f>IF(H2="None","No","Yes")</f>
        <v>Yes</v>
      </c>
      <c r="J2" t="s">
        <v>51</v>
      </c>
      <c r="K2" t="s">
        <v>70</v>
      </c>
      <c r="L2">
        <v>11.5</v>
      </c>
      <c r="M2">
        <v>41.685000000000002</v>
      </c>
      <c r="N2">
        <v>-82.933333333333294</v>
      </c>
      <c r="P2" t="s">
        <v>49</v>
      </c>
      <c r="Q2" t="s">
        <v>48</v>
      </c>
    </row>
    <row r="3" spans="1:17" x14ac:dyDescent="0.2">
      <c r="A3" t="s">
        <v>10</v>
      </c>
      <c r="B3" t="s">
        <v>11</v>
      </c>
      <c r="C3" t="s">
        <v>46</v>
      </c>
      <c r="D3" t="s">
        <v>13</v>
      </c>
      <c r="E3">
        <v>59</v>
      </c>
      <c r="F3" t="s">
        <v>52</v>
      </c>
      <c r="G3" t="s">
        <v>57</v>
      </c>
      <c r="H3" t="s">
        <v>61</v>
      </c>
      <c r="I3" t="str">
        <f>IF(H3="None","No","Yes")</f>
        <v>Yes</v>
      </c>
      <c r="J3" t="s">
        <v>51</v>
      </c>
      <c r="K3" t="s">
        <v>71</v>
      </c>
      <c r="L3">
        <v>10</v>
      </c>
      <c r="M3">
        <v>41.726666666666667</v>
      </c>
      <c r="N3">
        <v>-83.15</v>
      </c>
      <c r="P3" t="s">
        <v>49</v>
      </c>
      <c r="Q3" t="s">
        <v>48</v>
      </c>
    </row>
    <row r="4" spans="1:17" x14ac:dyDescent="0.2">
      <c r="A4" t="s">
        <v>10</v>
      </c>
      <c r="B4" t="s">
        <v>11</v>
      </c>
      <c r="C4" t="s">
        <v>46</v>
      </c>
      <c r="D4" t="s">
        <v>14</v>
      </c>
      <c r="E4">
        <v>60</v>
      </c>
      <c r="F4" t="s">
        <v>52</v>
      </c>
      <c r="G4" t="s">
        <v>57</v>
      </c>
      <c r="H4" t="s">
        <v>61</v>
      </c>
      <c r="I4" t="str">
        <f>IF(H4="None","No","Yes")</f>
        <v>Yes</v>
      </c>
      <c r="J4" t="s">
        <v>51</v>
      </c>
      <c r="K4" t="s">
        <v>71</v>
      </c>
      <c r="L4">
        <v>9.5</v>
      </c>
      <c r="M4">
        <v>41.891666666666666</v>
      </c>
      <c r="N4">
        <v>-83.196666666666701</v>
      </c>
      <c r="P4" t="s">
        <v>49</v>
      </c>
      <c r="Q4" t="s">
        <v>48</v>
      </c>
    </row>
    <row r="5" spans="1:17" x14ac:dyDescent="0.2">
      <c r="A5" t="s">
        <v>10</v>
      </c>
      <c r="B5" t="s">
        <v>11</v>
      </c>
      <c r="C5" t="s">
        <v>46</v>
      </c>
      <c r="D5" t="s">
        <v>15</v>
      </c>
      <c r="E5">
        <v>61</v>
      </c>
      <c r="F5" t="s">
        <v>52</v>
      </c>
      <c r="G5" t="s">
        <v>56</v>
      </c>
      <c r="H5" t="s">
        <v>61</v>
      </c>
      <c r="I5" t="str">
        <f>IF(H5="None","No","Yes")</f>
        <v>Yes</v>
      </c>
      <c r="J5" t="s">
        <v>51</v>
      </c>
      <c r="K5" t="s">
        <v>71</v>
      </c>
      <c r="L5">
        <v>10</v>
      </c>
      <c r="M5">
        <v>41.946666666666665</v>
      </c>
      <c r="N5">
        <v>-83.045000000000002</v>
      </c>
      <c r="P5" t="s">
        <v>49</v>
      </c>
      <c r="Q5" t="s">
        <v>48</v>
      </c>
    </row>
    <row r="6" spans="1:17" x14ac:dyDescent="0.2">
      <c r="A6" t="s">
        <v>10</v>
      </c>
      <c r="B6" t="s">
        <v>11</v>
      </c>
      <c r="C6" t="s">
        <v>46</v>
      </c>
      <c r="D6" t="s">
        <v>16</v>
      </c>
      <c r="E6">
        <v>91</v>
      </c>
      <c r="F6" t="s">
        <v>54</v>
      </c>
      <c r="G6" t="s">
        <v>58</v>
      </c>
      <c r="H6" t="s">
        <v>61</v>
      </c>
      <c r="I6" t="str">
        <f>IF(H6="None","No","Yes")</f>
        <v>Yes</v>
      </c>
      <c r="J6" t="s">
        <v>51</v>
      </c>
      <c r="K6" t="s">
        <v>71</v>
      </c>
      <c r="L6">
        <v>11</v>
      </c>
      <c r="M6">
        <v>41.840829999999997</v>
      </c>
      <c r="N6">
        <v>-82.916669999999996</v>
      </c>
      <c r="P6" t="s">
        <v>49</v>
      </c>
      <c r="Q6" t="s">
        <v>48</v>
      </c>
    </row>
    <row r="7" spans="1:17" x14ac:dyDescent="0.2">
      <c r="A7" t="s">
        <v>10</v>
      </c>
      <c r="B7" t="s">
        <v>11</v>
      </c>
      <c r="C7" t="s">
        <v>46</v>
      </c>
      <c r="D7" t="s">
        <v>17</v>
      </c>
      <c r="E7">
        <v>92</v>
      </c>
      <c r="F7" t="s">
        <v>51</v>
      </c>
      <c r="G7" t="s">
        <v>59</v>
      </c>
      <c r="H7" t="s">
        <v>59</v>
      </c>
      <c r="I7" t="str">
        <f>IF(H7="None","No","Yes")</f>
        <v>No</v>
      </c>
      <c r="J7" t="s">
        <v>51</v>
      </c>
      <c r="K7" t="s">
        <v>59</v>
      </c>
      <c r="L7">
        <v>11</v>
      </c>
      <c r="M7">
        <v>41.95</v>
      </c>
      <c r="N7">
        <v>-82.686666666666696</v>
      </c>
      <c r="P7" t="s">
        <v>49</v>
      </c>
      <c r="Q7" t="s">
        <v>48</v>
      </c>
    </row>
    <row r="8" spans="1:17" x14ac:dyDescent="0.2">
      <c r="A8" t="s">
        <v>10</v>
      </c>
      <c r="B8" t="s">
        <v>18</v>
      </c>
      <c r="C8" t="s">
        <v>46</v>
      </c>
      <c r="D8" t="s">
        <v>19</v>
      </c>
      <c r="E8">
        <v>30</v>
      </c>
      <c r="F8" t="s">
        <v>51</v>
      </c>
      <c r="G8" t="s">
        <v>59</v>
      </c>
      <c r="H8" t="s">
        <v>59</v>
      </c>
      <c r="I8" t="str">
        <f>IF(H8="None","No","Yes")</f>
        <v>No</v>
      </c>
      <c r="J8" t="s">
        <v>51</v>
      </c>
      <c r="K8" t="s">
        <v>59</v>
      </c>
      <c r="L8">
        <v>21</v>
      </c>
      <c r="M8">
        <v>42.43</v>
      </c>
      <c r="N8">
        <v>-81.204999999999998</v>
      </c>
      <c r="P8" t="s">
        <v>49</v>
      </c>
      <c r="Q8" t="s">
        <v>48</v>
      </c>
    </row>
    <row r="9" spans="1:17" x14ac:dyDescent="0.2">
      <c r="A9" t="s">
        <v>10</v>
      </c>
      <c r="B9" t="s">
        <v>18</v>
      </c>
      <c r="C9" t="s">
        <v>46</v>
      </c>
      <c r="D9" t="s">
        <v>20</v>
      </c>
      <c r="E9">
        <v>31</v>
      </c>
      <c r="F9" t="s">
        <v>51</v>
      </c>
      <c r="G9" t="s">
        <v>59</v>
      </c>
      <c r="H9" t="s">
        <v>59</v>
      </c>
      <c r="I9" t="str">
        <f>IF(H9="None","No","Yes")</f>
        <v>No</v>
      </c>
      <c r="J9" t="s">
        <v>51</v>
      </c>
      <c r="K9" t="s">
        <v>59</v>
      </c>
      <c r="L9">
        <v>21</v>
      </c>
      <c r="M9">
        <v>42.253332999999998</v>
      </c>
      <c r="N9">
        <v>-81.106667000000002</v>
      </c>
      <c r="P9" t="s">
        <v>49</v>
      </c>
      <c r="Q9" t="s">
        <v>48</v>
      </c>
    </row>
    <row r="10" spans="1:17" x14ac:dyDescent="0.2">
      <c r="A10" t="s">
        <v>10</v>
      </c>
      <c r="B10" t="s">
        <v>18</v>
      </c>
      <c r="C10" t="s">
        <v>46</v>
      </c>
      <c r="D10" t="s">
        <v>21</v>
      </c>
      <c r="E10">
        <v>32</v>
      </c>
      <c r="F10" t="s">
        <v>51</v>
      </c>
      <c r="G10" t="s">
        <v>59</v>
      </c>
      <c r="H10" t="s">
        <v>59</v>
      </c>
      <c r="I10" t="str">
        <f>IF(H10="None","No","Yes")</f>
        <v>No</v>
      </c>
      <c r="J10" t="s">
        <v>51</v>
      </c>
      <c r="K10" t="s">
        <v>59</v>
      </c>
      <c r="L10">
        <v>22</v>
      </c>
      <c r="M10">
        <v>42.081667000000003</v>
      </c>
      <c r="N10">
        <v>-81.011667000000003</v>
      </c>
      <c r="P10" t="s">
        <v>49</v>
      </c>
      <c r="Q10" t="s">
        <v>48</v>
      </c>
    </row>
    <row r="11" spans="1:17" x14ac:dyDescent="0.2">
      <c r="A11" t="s">
        <v>10</v>
      </c>
      <c r="B11" t="s">
        <v>18</v>
      </c>
      <c r="C11" t="s">
        <v>46</v>
      </c>
      <c r="D11" t="s">
        <v>22</v>
      </c>
      <c r="E11">
        <v>36</v>
      </c>
      <c r="F11" t="s">
        <v>51</v>
      </c>
      <c r="G11" t="s">
        <v>60</v>
      </c>
      <c r="H11" t="s">
        <v>59</v>
      </c>
      <c r="I11" t="str">
        <f>IF(H11="None","No","Yes")</f>
        <v>No</v>
      </c>
      <c r="J11" t="s">
        <v>51</v>
      </c>
      <c r="K11" t="s">
        <v>59</v>
      </c>
      <c r="L11">
        <v>23</v>
      </c>
      <c r="M11">
        <v>41.935000000000002</v>
      </c>
      <c r="N11">
        <v>-81.478333000000006</v>
      </c>
      <c r="P11" t="s">
        <v>49</v>
      </c>
      <c r="Q11" t="s">
        <v>48</v>
      </c>
    </row>
    <row r="12" spans="1:17" x14ac:dyDescent="0.2">
      <c r="A12" t="s">
        <v>10</v>
      </c>
      <c r="B12" t="s">
        <v>18</v>
      </c>
      <c r="C12" t="s">
        <v>46</v>
      </c>
      <c r="D12" t="s">
        <v>23</v>
      </c>
      <c r="E12">
        <v>37</v>
      </c>
      <c r="F12" t="s">
        <v>51</v>
      </c>
      <c r="G12" t="s">
        <v>60</v>
      </c>
      <c r="H12" t="s">
        <v>59</v>
      </c>
      <c r="I12" t="str">
        <f>IF(H12="None","No","Yes")</f>
        <v>No</v>
      </c>
      <c r="J12" t="s">
        <v>51</v>
      </c>
      <c r="K12" t="s">
        <v>59</v>
      </c>
      <c r="L12">
        <v>24</v>
      </c>
      <c r="M12">
        <v>42.11</v>
      </c>
      <c r="N12">
        <v>-81.575000000000003</v>
      </c>
      <c r="P12" t="s">
        <v>49</v>
      </c>
      <c r="Q12" t="s">
        <v>48</v>
      </c>
    </row>
    <row r="13" spans="1:17" x14ac:dyDescent="0.2">
      <c r="A13" t="s">
        <v>10</v>
      </c>
      <c r="B13" t="s">
        <v>18</v>
      </c>
      <c r="C13" t="s">
        <v>46</v>
      </c>
      <c r="D13" t="s">
        <v>24</v>
      </c>
      <c r="E13">
        <v>38</v>
      </c>
      <c r="F13" t="s">
        <v>53</v>
      </c>
      <c r="G13" t="s">
        <v>56</v>
      </c>
      <c r="H13" t="s">
        <v>65</v>
      </c>
      <c r="I13" t="str">
        <f>IF(H13="None","No","Yes")</f>
        <v>Yes</v>
      </c>
      <c r="J13" t="s">
        <v>76</v>
      </c>
      <c r="K13" t="s">
        <v>71</v>
      </c>
      <c r="L13">
        <v>22</v>
      </c>
      <c r="M13">
        <v>42.281666999999999</v>
      </c>
      <c r="N13">
        <v>-81.671666999999999</v>
      </c>
      <c r="P13" t="s">
        <v>49</v>
      </c>
      <c r="Q13" t="s">
        <v>48</v>
      </c>
    </row>
    <row r="14" spans="1:17" x14ac:dyDescent="0.2">
      <c r="A14" t="s">
        <v>10</v>
      </c>
      <c r="B14" t="s">
        <v>18</v>
      </c>
      <c r="C14" t="s">
        <v>46</v>
      </c>
      <c r="D14" t="s">
        <v>25</v>
      </c>
      <c r="E14">
        <v>42</v>
      </c>
      <c r="F14" t="s">
        <v>51</v>
      </c>
      <c r="G14" t="s">
        <v>59</v>
      </c>
      <c r="H14" t="s">
        <v>59</v>
      </c>
      <c r="I14" t="str">
        <f>IF(H14="None","No","Yes")</f>
        <v>No</v>
      </c>
      <c r="J14" t="s">
        <v>51</v>
      </c>
      <c r="K14" t="s">
        <v>59</v>
      </c>
      <c r="L14">
        <v>22</v>
      </c>
      <c r="M14">
        <v>41.965000000000003</v>
      </c>
      <c r="N14">
        <v>-82.041667000000004</v>
      </c>
      <c r="P14" t="s">
        <v>49</v>
      </c>
      <c r="Q14" t="s">
        <v>48</v>
      </c>
    </row>
    <row r="15" spans="1:17" x14ac:dyDescent="0.2">
      <c r="A15" t="s">
        <v>10</v>
      </c>
      <c r="B15" t="s">
        <v>18</v>
      </c>
      <c r="C15" t="s">
        <v>46</v>
      </c>
      <c r="D15" t="s">
        <v>26</v>
      </c>
      <c r="E15">
        <v>43</v>
      </c>
      <c r="F15" t="s">
        <v>53</v>
      </c>
      <c r="G15" t="s">
        <v>57</v>
      </c>
      <c r="H15" t="s">
        <v>65</v>
      </c>
      <c r="I15" t="str">
        <f>IF(H15="None","No","Yes")</f>
        <v>Yes</v>
      </c>
      <c r="J15" t="s">
        <v>76</v>
      </c>
      <c r="K15" t="s">
        <v>71</v>
      </c>
      <c r="L15">
        <v>23</v>
      </c>
      <c r="M15">
        <v>41.788330000000002</v>
      </c>
      <c r="N15">
        <v>-81.944999999999993</v>
      </c>
      <c r="P15" t="s">
        <v>49</v>
      </c>
      <c r="Q15" t="s">
        <v>48</v>
      </c>
    </row>
    <row r="16" spans="1:17" x14ac:dyDescent="0.2">
      <c r="A16" t="s">
        <v>10</v>
      </c>
      <c r="B16" t="s">
        <v>18</v>
      </c>
      <c r="C16" t="s">
        <v>46</v>
      </c>
      <c r="D16" t="s">
        <v>27</v>
      </c>
      <c r="E16">
        <v>73</v>
      </c>
      <c r="F16" t="s">
        <v>51</v>
      </c>
      <c r="G16" t="s">
        <v>60</v>
      </c>
      <c r="H16" t="s">
        <v>65</v>
      </c>
      <c r="I16" t="str">
        <f>IF(H16="None","No","Yes")</f>
        <v>Yes</v>
      </c>
      <c r="J16" t="s">
        <v>76</v>
      </c>
      <c r="K16" t="s">
        <v>72</v>
      </c>
      <c r="L16">
        <v>24</v>
      </c>
      <c r="M16">
        <v>41.977778000000001</v>
      </c>
      <c r="N16">
        <v>-81.756944000000004</v>
      </c>
      <c r="P16" t="s">
        <v>49</v>
      </c>
      <c r="Q16" t="s">
        <v>48</v>
      </c>
    </row>
    <row r="17" spans="1:17" x14ac:dyDescent="0.2">
      <c r="A17" t="s">
        <v>10</v>
      </c>
      <c r="B17" t="s">
        <v>18</v>
      </c>
      <c r="C17" t="s">
        <v>46</v>
      </c>
      <c r="D17" t="s">
        <v>28</v>
      </c>
      <c r="E17">
        <v>78</v>
      </c>
      <c r="F17" t="s">
        <v>54</v>
      </c>
      <c r="G17" t="s">
        <v>58</v>
      </c>
      <c r="H17" t="s">
        <v>65</v>
      </c>
      <c r="I17" t="str">
        <f>IF(H17="None","No","Yes")</f>
        <v>Yes</v>
      </c>
      <c r="J17" t="s">
        <v>76</v>
      </c>
      <c r="K17" t="s">
        <v>71</v>
      </c>
      <c r="L17">
        <v>23</v>
      </c>
      <c r="M17">
        <v>42.116669999999999</v>
      </c>
      <c r="N17">
        <v>-81.25</v>
      </c>
      <c r="P17" t="s">
        <v>49</v>
      </c>
      <c r="Q17" t="s">
        <v>48</v>
      </c>
    </row>
    <row r="18" spans="1:17" x14ac:dyDescent="0.2">
      <c r="A18" t="s">
        <v>10</v>
      </c>
      <c r="B18" t="s">
        <v>29</v>
      </c>
      <c r="C18" t="s">
        <v>46</v>
      </c>
      <c r="D18" t="s">
        <v>30</v>
      </c>
      <c r="E18">
        <v>9</v>
      </c>
      <c r="F18" t="s">
        <v>51</v>
      </c>
      <c r="G18" t="s">
        <v>59</v>
      </c>
      <c r="H18" t="s">
        <v>65</v>
      </c>
      <c r="I18" t="str">
        <f>IF(H18="None","No","Yes")</f>
        <v>Yes</v>
      </c>
      <c r="J18" t="s">
        <v>76</v>
      </c>
      <c r="K18" t="s">
        <v>70</v>
      </c>
      <c r="L18">
        <v>47</v>
      </c>
      <c r="M18">
        <v>42.538333333333334</v>
      </c>
      <c r="N18">
        <v>-79.616666666666703</v>
      </c>
      <c r="P18" t="s">
        <v>49</v>
      </c>
      <c r="Q18" t="s">
        <v>48</v>
      </c>
    </row>
    <row r="19" spans="1:17" x14ac:dyDescent="0.2">
      <c r="A19" t="s">
        <v>10</v>
      </c>
      <c r="B19" t="s">
        <v>29</v>
      </c>
      <c r="C19" t="s">
        <v>46</v>
      </c>
      <c r="D19" t="s">
        <v>31</v>
      </c>
      <c r="E19">
        <v>10</v>
      </c>
      <c r="F19" t="s">
        <v>51</v>
      </c>
      <c r="G19" t="s">
        <v>59</v>
      </c>
      <c r="H19" t="s">
        <v>65</v>
      </c>
      <c r="I19" t="str">
        <f>IF(H19="None","No","Yes")</f>
        <v>Yes</v>
      </c>
      <c r="J19" t="s">
        <v>76</v>
      </c>
      <c r="K19" t="s">
        <v>70</v>
      </c>
      <c r="L19">
        <v>32</v>
      </c>
      <c r="M19">
        <v>42.68</v>
      </c>
      <c r="N19">
        <v>-79.691666666666706</v>
      </c>
      <c r="P19" t="s">
        <v>49</v>
      </c>
      <c r="Q19" t="s">
        <v>48</v>
      </c>
    </row>
    <row r="20" spans="1:17" x14ac:dyDescent="0.2">
      <c r="A20" t="s">
        <v>10</v>
      </c>
      <c r="B20" t="s">
        <v>29</v>
      </c>
      <c r="C20" t="s">
        <v>46</v>
      </c>
      <c r="D20" t="s">
        <v>32</v>
      </c>
      <c r="E20">
        <v>15</v>
      </c>
      <c r="F20" t="s">
        <v>54</v>
      </c>
      <c r="G20" t="s">
        <v>58</v>
      </c>
      <c r="H20" t="s">
        <v>65</v>
      </c>
      <c r="I20" t="str">
        <f>IF(H20="None","No","Yes")</f>
        <v>Yes</v>
      </c>
      <c r="J20" t="s">
        <v>76</v>
      </c>
      <c r="K20" t="s">
        <v>71</v>
      </c>
      <c r="L20">
        <v>60</v>
      </c>
      <c r="M20">
        <v>42.516669999999998</v>
      </c>
      <c r="N20">
        <v>-79.893330000000006</v>
      </c>
      <c r="P20" t="s">
        <v>49</v>
      </c>
      <c r="Q20" t="s">
        <v>48</v>
      </c>
    </row>
    <row r="21" spans="1:17" x14ac:dyDescent="0.2">
      <c r="A21" t="s">
        <v>10</v>
      </c>
      <c r="B21" t="s">
        <v>29</v>
      </c>
      <c r="C21" t="s">
        <v>46</v>
      </c>
      <c r="D21" t="s">
        <v>33</v>
      </c>
      <c r="E21">
        <v>63</v>
      </c>
      <c r="F21" t="s">
        <v>51</v>
      </c>
      <c r="G21" t="s">
        <v>59</v>
      </c>
      <c r="H21" t="s">
        <v>59</v>
      </c>
      <c r="I21" t="str">
        <f>IF(H21="None","No","Yes")</f>
        <v>No</v>
      </c>
      <c r="J21" t="s">
        <v>51</v>
      </c>
      <c r="K21" t="s">
        <v>73</v>
      </c>
      <c r="L21">
        <v>45</v>
      </c>
      <c r="M21">
        <v>42.416666666666664</v>
      </c>
      <c r="N21">
        <v>-79.8</v>
      </c>
      <c r="P21" t="s">
        <v>49</v>
      </c>
      <c r="Q21" t="s">
        <v>48</v>
      </c>
    </row>
    <row r="22" spans="1:17" x14ac:dyDescent="0.2">
      <c r="A22" t="s">
        <v>10</v>
      </c>
      <c r="B22" t="s">
        <v>29</v>
      </c>
      <c r="C22" t="s">
        <v>46</v>
      </c>
      <c r="D22" t="s">
        <v>34</v>
      </c>
      <c r="E22">
        <v>932</v>
      </c>
      <c r="F22" t="s">
        <v>52</v>
      </c>
      <c r="G22" t="s">
        <v>57</v>
      </c>
      <c r="H22" t="s">
        <v>61</v>
      </c>
      <c r="I22" t="str">
        <f>IF(H22="None","No","Yes")</f>
        <v>Yes</v>
      </c>
      <c r="J22" t="s">
        <v>51</v>
      </c>
      <c r="K22" t="s">
        <v>71</v>
      </c>
      <c r="L22">
        <v>20</v>
      </c>
      <c r="M22">
        <v>42.791666666666664</v>
      </c>
      <c r="N22">
        <v>-79.209166699999997</v>
      </c>
      <c r="O22" t="s">
        <v>47</v>
      </c>
      <c r="P22" t="s">
        <v>49</v>
      </c>
      <c r="Q22" t="s">
        <v>48</v>
      </c>
    </row>
    <row r="23" spans="1:17" x14ac:dyDescent="0.2">
      <c r="A23" t="s">
        <v>10</v>
      </c>
      <c r="B23" t="s">
        <v>29</v>
      </c>
      <c r="C23" t="s">
        <v>46</v>
      </c>
      <c r="D23" t="s">
        <v>35</v>
      </c>
      <c r="E23">
        <v>936</v>
      </c>
      <c r="F23" t="s">
        <v>52</v>
      </c>
      <c r="G23" t="s">
        <v>56</v>
      </c>
      <c r="H23" t="s">
        <v>61</v>
      </c>
      <c r="I23" t="str">
        <f>IF(H23="None","No","Yes")</f>
        <v>Yes</v>
      </c>
      <c r="J23" t="s">
        <v>51</v>
      </c>
      <c r="K23" t="s">
        <v>71</v>
      </c>
      <c r="L23">
        <v>7</v>
      </c>
      <c r="M23">
        <v>42.474166666666669</v>
      </c>
      <c r="N23">
        <v>-79.407499999999999</v>
      </c>
      <c r="O23" t="s">
        <v>47</v>
      </c>
      <c r="P23" t="s">
        <v>49</v>
      </c>
      <c r="Q23" t="s">
        <v>48</v>
      </c>
    </row>
    <row r="24" spans="1:17" x14ac:dyDescent="0.2">
      <c r="A24" t="s">
        <v>10</v>
      </c>
      <c r="B24" t="s">
        <v>18</v>
      </c>
      <c r="C24" t="s">
        <v>46</v>
      </c>
      <c r="D24" t="s">
        <v>36</v>
      </c>
      <c r="E24">
        <v>937</v>
      </c>
      <c r="F24" t="s">
        <v>52</v>
      </c>
      <c r="G24" t="s">
        <v>56</v>
      </c>
      <c r="H24" t="s">
        <v>61</v>
      </c>
      <c r="I24" t="str">
        <f>IF(H24="None","No","Yes")</f>
        <v>Yes</v>
      </c>
      <c r="J24" t="s">
        <v>51</v>
      </c>
      <c r="K24" t="s">
        <v>71</v>
      </c>
      <c r="L24">
        <v>7</v>
      </c>
      <c r="M24">
        <v>42.715000000000003</v>
      </c>
      <c r="N24">
        <v>-80.245333299999999</v>
      </c>
      <c r="O24" t="s">
        <v>47</v>
      </c>
      <c r="P24" t="s">
        <v>49</v>
      </c>
      <c r="Q24" t="s">
        <v>48</v>
      </c>
    </row>
    <row r="25" spans="1:17" x14ac:dyDescent="0.2">
      <c r="A25" t="s">
        <v>10</v>
      </c>
      <c r="B25" t="s">
        <v>18</v>
      </c>
      <c r="C25" t="s">
        <v>46</v>
      </c>
      <c r="D25" t="s">
        <v>37</v>
      </c>
      <c r="E25">
        <v>951</v>
      </c>
      <c r="F25" t="s">
        <v>52</v>
      </c>
      <c r="G25" t="s">
        <v>56</v>
      </c>
      <c r="H25" t="s">
        <v>61</v>
      </c>
      <c r="I25" t="str">
        <f>IF(H25="None","No","Yes")</f>
        <v>Yes</v>
      </c>
      <c r="J25" t="s">
        <v>51</v>
      </c>
      <c r="K25" t="s">
        <v>71</v>
      </c>
      <c r="L25">
        <v>19</v>
      </c>
      <c r="M25">
        <v>42.475833333333334</v>
      </c>
      <c r="N25">
        <v>-81.441666699999999</v>
      </c>
      <c r="O25" t="s">
        <v>47</v>
      </c>
      <c r="P25" t="s">
        <v>49</v>
      </c>
      <c r="Q25" t="s">
        <v>48</v>
      </c>
    </row>
    <row r="26" spans="1:17" x14ac:dyDescent="0.2">
      <c r="A26" t="s">
        <v>10</v>
      </c>
      <c r="B26" t="s">
        <v>18</v>
      </c>
      <c r="C26" t="s">
        <v>46</v>
      </c>
      <c r="D26" t="s">
        <v>38</v>
      </c>
      <c r="E26">
        <v>958</v>
      </c>
      <c r="F26" t="s">
        <v>52</v>
      </c>
      <c r="G26" t="s">
        <v>60</v>
      </c>
      <c r="H26" t="s">
        <v>61</v>
      </c>
      <c r="I26" t="str">
        <f>IF(H26="None","No","Yes")</f>
        <v>Yes</v>
      </c>
      <c r="J26" t="s">
        <v>51</v>
      </c>
      <c r="K26" t="s">
        <v>71</v>
      </c>
      <c r="L26">
        <v>11</v>
      </c>
      <c r="M26">
        <v>41.524999999999999</v>
      </c>
      <c r="N26">
        <v>-81.707833300000004</v>
      </c>
      <c r="O26" t="s">
        <v>47</v>
      </c>
      <c r="P26" t="s">
        <v>49</v>
      </c>
      <c r="Q26" t="s">
        <v>48</v>
      </c>
    </row>
    <row r="27" spans="1:17" x14ac:dyDescent="0.2">
      <c r="A27" t="s">
        <v>10</v>
      </c>
      <c r="B27" t="s">
        <v>18</v>
      </c>
      <c r="C27" t="s">
        <v>46</v>
      </c>
      <c r="D27" t="s">
        <v>39</v>
      </c>
      <c r="E27">
        <v>959</v>
      </c>
      <c r="F27" t="s">
        <v>52</v>
      </c>
      <c r="G27" t="s">
        <v>60</v>
      </c>
      <c r="H27" t="s">
        <v>61</v>
      </c>
      <c r="I27" t="str">
        <f>IF(H27="None","No","Yes")</f>
        <v>Yes</v>
      </c>
      <c r="J27" t="s">
        <v>51</v>
      </c>
      <c r="K27" t="s">
        <v>74</v>
      </c>
      <c r="L27">
        <v>12</v>
      </c>
      <c r="M27">
        <v>42.190333333333335</v>
      </c>
      <c r="N27">
        <v>-82.186666700000004</v>
      </c>
      <c r="O27" t="s">
        <v>47</v>
      </c>
      <c r="P27" t="s">
        <v>49</v>
      </c>
      <c r="Q27" t="s">
        <v>48</v>
      </c>
    </row>
    <row r="28" spans="1:17" x14ac:dyDescent="0.2">
      <c r="A28" t="s">
        <v>10</v>
      </c>
      <c r="B28" t="s">
        <v>18</v>
      </c>
      <c r="C28" t="s">
        <v>46</v>
      </c>
      <c r="D28" t="s">
        <v>40</v>
      </c>
      <c r="E28">
        <v>95</v>
      </c>
      <c r="F28" t="s">
        <v>52</v>
      </c>
      <c r="G28" t="s">
        <v>60</v>
      </c>
      <c r="H28" t="s">
        <v>61</v>
      </c>
      <c r="I28" t="str">
        <f>IF(H28="None","No","Yes")</f>
        <v>Yes</v>
      </c>
      <c r="J28" t="s">
        <v>51</v>
      </c>
      <c r="K28" t="s">
        <v>71</v>
      </c>
      <c r="L28">
        <v>16</v>
      </c>
      <c r="M28">
        <v>42</v>
      </c>
      <c r="N28">
        <v>-80.666390000000007</v>
      </c>
      <c r="O28" t="s">
        <v>47</v>
      </c>
      <c r="P28" t="s">
        <v>49</v>
      </c>
      <c r="Q28" t="s">
        <v>48</v>
      </c>
    </row>
    <row r="29" spans="1:17" x14ac:dyDescent="0.2">
      <c r="A29" t="s">
        <v>10</v>
      </c>
      <c r="B29" t="s">
        <v>18</v>
      </c>
      <c r="C29" t="s">
        <v>46</v>
      </c>
      <c r="D29" t="s">
        <v>41</v>
      </c>
      <c r="E29">
        <v>964</v>
      </c>
      <c r="F29" t="s">
        <v>52</v>
      </c>
      <c r="G29" t="s">
        <v>60</v>
      </c>
      <c r="H29" t="s">
        <v>61</v>
      </c>
      <c r="I29" t="str">
        <f>IF(H29="None","No","Yes")</f>
        <v>Yes</v>
      </c>
      <c r="J29" t="s">
        <v>51</v>
      </c>
      <c r="K29" t="s">
        <v>71</v>
      </c>
      <c r="L29">
        <v>8</v>
      </c>
      <c r="M29">
        <v>41.483833333333337</v>
      </c>
      <c r="N29">
        <v>-82.182000000000002</v>
      </c>
      <c r="O29" t="s">
        <v>47</v>
      </c>
      <c r="P29" t="s">
        <v>49</v>
      </c>
      <c r="Q29" t="s">
        <v>48</v>
      </c>
    </row>
    <row r="30" spans="1:17" x14ac:dyDescent="0.2">
      <c r="A30" t="s">
        <v>10</v>
      </c>
      <c r="B30" t="s">
        <v>11</v>
      </c>
      <c r="C30" t="s">
        <v>46</v>
      </c>
      <c r="D30" t="s">
        <v>42</v>
      </c>
      <c r="E30">
        <v>966</v>
      </c>
      <c r="F30" t="s">
        <v>52</v>
      </c>
      <c r="G30" t="s">
        <v>57</v>
      </c>
      <c r="H30" t="s">
        <v>61</v>
      </c>
      <c r="I30" t="str">
        <f>IF(H30="None","No","Yes")</f>
        <v>Yes</v>
      </c>
      <c r="J30" t="s">
        <v>51</v>
      </c>
      <c r="K30" t="s">
        <v>71</v>
      </c>
      <c r="L30">
        <v>9</v>
      </c>
      <c r="M30">
        <v>41.983333333333334</v>
      </c>
      <c r="N30">
        <v>-82.625</v>
      </c>
      <c r="O30" t="s">
        <v>47</v>
      </c>
      <c r="P30" t="s">
        <v>49</v>
      </c>
      <c r="Q30" t="s">
        <v>48</v>
      </c>
    </row>
    <row r="31" spans="1:17" x14ac:dyDescent="0.2">
      <c r="A31" t="s">
        <v>10</v>
      </c>
      <c r="B31" t="s">
        <v>18</v>
      </c>
      <c r="C31" t="s">
        <v>46</v>
      </c>
      <c r="D31" t="s">
        <v>43</v>
      </c>
      <c r="E31" t="s">
        <v>64</v>
      </c>
      <c r="F31" t="s">
        <v>51</v>
      </c>
      <c r="G31" t="s">
        <v>59</v>
      </c>
      <c r="H31" t="s">
        <v>61</v>
      </c>
      <c r="I31" t="str">
        <f>IF(H31="None","No","Yes")</f>
        <v>Yes</v>
      </c>
      <c r="J31" t="s">
        <v>51</v>
      </c>
      <c r="K31" t="s">
        <v>70</v>
      </c>
      <c r="L31">
        <v>12</v>
      </c>
      <c r="M31">
        <v>41.994999999999997</v>
      </c>
      <c r="N31">
        <v>-82.45</v>
      </c>
      <c r="O31" t="s">
        <v>47</v>
      </c>
      <c r="P31" t="s">
        <v>49</v>
      </c>
      <c r="Q31" t="s">
        <v>48</v>
      </c>
    </row>
    <row r="32" spans="1:17" x14ac:dyDescent="0.2">
      <c r="A32" t="s">
        <v>10</v>
      </c>
      <c r="B32" t="s">
        <v>18</v>
      </c>
      <c r="C32" t="s">
        <v>46</v>
      </c>
      <c r="D32" t="s">
        <v>44</v>
      </c>
      <c r="E32">
        <v>28</v>
      </c>
      <c r="F32" t="s">
        <v>52</v>
      </c>
      <c r="G32" t="s">
        <v>56</v>
      </c>
      <c r="H32" t="s">
        <v>61</v>
      </c>
      <c r="I32" t="str">
        <f>IF(H32="None","No","Yes")</f>
        <v>Yes</v>
      </c>
      <c r="J32" t="s">
        <v>51</v>
      </c>
      <c r="K32" t="s">
        <v>71</v>
      </c>
      <c r="L32">
        <v>14</v>
      </c>
      <c r="M32">
        <v>42.181666666666665</v>
      </c>
      <c r="N32">
        <v>-80.156666700000002</v>
      </c>
      <c r="O32" t="s">
        <v>47</v>
      </c>
      <c r="P32" t="s">
        <v>49</v>
      </c>
      <c r="Q32" t="s">
        <v>48</v>
      </c>
    </row>
    <row r="33" spans="1:17" x14ac:dyDescent="0.2">
      <c r="A33" t="s">
        <v>10</v>
      </c>
      <c r="B33" t="s">
        <v>18</v>
      </c>
      <c r="C33" t="s">
        <v>46</v>
      </c>
      <c r="D33" t="s">
        <v>45</v>
      </c>
      <c r="E33">
        <v>22</v>
      </c>
      <c r="F33" t="s">
        <v>52</v>
      </c>
      <c r="G33" t="s">
        <v>60</v>
      </c>
      <c r="H33" t="s">
        <v>61</v>
      </c>
      <c r="I33" t="str">
        <f>IF(H33="None","No","Yes")</f>
        <v>Yes</v>
      </c>
      <c r="J33" t="s">
        <v>51</v>
      </c>
      <c r="K33" t="s">
        <v>71</v>
      </c>
      <c r="L33">
        <v>11</v>
      </c>
      <c r="M33">
        <v>42.633333333333333</v>
      </c>
      <c r="N33">
        <v>-80.875</v>
      </c>
      <c r="O33" t="s">
        <v>47</v>
      </c>
      <c r="P33" t="s">
        <v>49</v>
      </c>
      <c r="Q33" t="s">
        <v>48</v>
      </c>
    </row>
    <row r="34" spans="1:17" x14ac:dyDescent="0.2">
      <c r="A34" t="s">
        <v>10</v>
      </c>
      <c r="B34" t="s">
        <v>18</v>
      </c>
      <c r="C34" t="s">
        <v>66</v>
      </c>
      <c r="D34" t="s">
        <v>67</v>
      </c>
      <c r="E34">
        <v>6</v>
      </c>
      <c r="I34" t="str">
        <f>IF(H34="None","No","Yes")</f>
        <v>Yes</v>
      </c>
      <c r="J34" t="s">
        <v>76</v>
      </c>
      <c r="K34" t="s">
        <v>70</v>
      </c>
      <c r="M34">
        <f>42 + 22.711/60</f>
        <v>42.37851666666667</v>
      </c>
      <c r="N34">
        <f xml:space="preserve"> (80 + 12.302/60) * -1</f>
        <v>-80.205033333333333</v>
      </c>
      <c r="O34" t="s">
        <v>47</v>
      </c>
    </row>
    <row r="42" spans="1:17" ht="17" x14ac:dyDescent="0.25">
      <c r="M42" s="1"/>
      <c r="N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Scofield, Anne</dc:creator>
  <cp:lastModifiedBy>Augustus Raymond Pendleton</cp:lastModifiedBy>
  <dcterms:created xsi:type="dcterms:W3CDTF">2024-02-02T19:19:27Z</dcterms:created>
  <dcterms:modified xsi:type="dcterms:W3CDTF">2026-01-28T20:30:32Z</dcterms:modified>
</cp:coreProperties>
</file>